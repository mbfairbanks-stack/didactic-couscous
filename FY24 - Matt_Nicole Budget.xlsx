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Balance Sheet" sheetId="1" r:id="rId5"/>
    <sheet state="visible" name="2024 Savings" sheetId="2" r:id="rId6"/>
    <sheet state="visible" name="2024 Expenses" sheetId="3" r:id="rId7"/>
    <sheet state="visible" name="2024 CC - Categories" sheetId="4" r:id="rId8"/>
    <sheet state="visible" name="CB - Jan 24" sheetId="5" r:id="rId9"/>
    <sheet state="visible" name="CC - Jan 24" sheetId="6" r:id="rId10"/>
    <sheet state="visible" name="CB - Feb 24" sheetId="7" r:id="rId11"/>
    <sheet state="visible" name="CC - Feb 24" sheetId="8" r:id="rId12"/>
    <sheet state="visible" name="CC - Mar 24" sheetId="9" r:id="rId13"/>
    <sheet state="visible" name="CB - Mar 24" sheetId="10" r:id="rId14"/>
    <sheet state="visible" name="CB - Apr 24" sheetId="11" r:id="rId15"/>
    <sheet state="visible" name="CC - Apr 24" sheetId="12" r:id="rId16"/>
    <sheet state="visible" name="CB - May 24" sheetId="13" r:id="rId17"/>
    <sheet state="visible" name="CC - May 24" sheetId="14" r:id="rId18"/>
    <sheet state="visible" name="CB - Jun 24" sheetId="15" r:id="rId19"/>
    <sheet state="visible" name="CC - Jun 24" sheetId="16" r:id="rId20"/>
    <sheet state="visible" name="CB - Jul 24" sheetId="17" r:id="rId21"/>
    <sheet state="visible" name="CC - Jul 24" sheetId="18" r:id="rId22"/>
    <sheet state="visible" name="CB - Aug 24" sheetId="19" r:id="rId23"/>
    <sheet state="visible" name="CC - Aug 23" sheetId="20" r:id="rId24"/>
    <sheet state="visible" name="CB - Sep 24" sheetId="21" r:id="rId25"/>
    <sheet state="visible" name="CC - Sep 23" sheetId="22" r:id="rId26"/>
    <sheet state="visible" name="CB - Oct 24" sheetId="23" r:id="rId27"/>
    <sheet state="visible" name="CC - Oct 23" sheetId="24" r:id="rId28"/>
    <sheet state="visible" name="CB - Nov 24" sheetId="25" r:id="rId29"/>
    <sheet state="visible" name="CC - Nov 23" sheetId="26" r:id="rId30"/>
    <sheet state="visible" name="CB - Dec 24" sheetId="27" r:id="rId31"/>
    <sheet state="visible" name="CC - Dec 23" sheetId="28" r:id="rId32"/>
  </sheets>
  <definedNames/>
  <calcPr/>
  <pivotCaches>
    <pivotCache cacheId="0" r:id="rId33"/>
    <pivotCache cacheId="1" r:id="rId34"/>
    <pivotCache cacheId="2" r:id="rId35"/>
    <pivotCache cacheId="3" r:id="rId36"/>
    <pivotCache cacheId="4" r:id="rId37"/>
    <pivotCache cacheId="5" r:id="rId38"/>
    <pivotCache cacheId="6" r:id="rId39"/>
    <pivotCache cacheId="7" r:id="rId40"/>
    <pivotCache cacheId="8" r:id="rId41"/>
    <pivotCache cacheId="9" r:id="rId42"/>
  </pivotCaches>
</workbook>
</file>

<file path=xl/sharedStrings.xml><?xml version="1.0" encoding="utf-8"?>
<sst xmlns="http://schemas.openxmlformats.org/spreadsheetml/2006/main" count="2369" uniqueCount="456">
  <si>
    <t>Month</t>
  </si>
  <si>
    <t>Net Income (Matt)</t>
  </si>
  <si>
    <t>Comm Income (Matt)</t>
  </si>
  <si>
    <t>Net Income (Nicole)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</si>
  <si>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</si>
  <si>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</si>
  <si>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</si>
  <si>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</si>
  <si>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</si>
  <si>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</si>
  <si>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</si>
  <si>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</si>
  <si>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</si>
  <si>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</si>
  <si>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</si>
  <si>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</si>
  <si>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</si>
  <si>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Matt</t>
  </si>
  <si>
    <t>Gross</t>
  </si>
  <si>
    <t>Base</t>
  </si>
  <si>
    <t>Comm</t>
  </si>
  <si>
    <t>Jan 1 - Feb 29</t>
  </si>
  <si>
    <t>Mar 1 - Dec 31</t>
  </si>
  <si>
    <t>Nicole</t>
  </si>
  <si>
    <t>Gross Salary</t>
  </si>
  <si>
    <t>Jan 1 - Dec 31</t>
  </si>
  <si>
    <t>Emerg</t>
  </si>
  <si>
    <t>RRSP</t>
  </si>
  <si>
    <t>FHSA</t>
  </si>
  <si>
    <t>Savings</t>
  </si>
  <si>
    <t>Other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</si>
  <si>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</si>
  <si>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</si>
  <si>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</si>
  <si>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</si>
  <si>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</si>
  <si>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</si>
  <si>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</si>
  <si>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</si>
  <si>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</si>
  <si>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</si>
  <si>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</si>
  <si>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Total:</t>
  </si>
  <si>
    <t>Limits</t>
  </si>
  <si>
    <t>Contributions</t>
  </si>
  <si>
    <t>Remainder</t>
  </si>
  <si>
    <t>FHSA Limits</t>
  </si>
  <si>
    <t>HOLDINGS</t>
  </si>
  <si>
    <t>TFSA</t>
  </si>
  <si>
    <t>Savings Acct</t>
  </si>
  <si>
    <t>Matt Rent</t>
  </si>
  <si>
    <t>Matt Hydro</t>
  </si>
  <si>
    <t>Matt Gas</t>
  </si>
  <si>
    <t>Matt Internet</t>
  </si>
  <si>
    <t>Nicole Rent</t>
  </si>
  <si>
    <t>Nicole Hydro</t>
  </si>
  <si>
    <t>Nicole Gas</t>
  </si>
  <si>
    <t>Nicole Internet</t>
  </si>
  <si>
    <t>Average:</t>
  </si>
  <si>
    <t>Total Hydro: (Jan-Aug)</t>
  </si>
  <si>
    <t>Total Gas: (Jan-Aug)</t>
  </si>
  <si>
    <t>Total Internet: (Jan Aug)</t>
  </si>
  <si>
    <t>Total hydro: (Sept-Dec)</t>
  </si>
  <si>
    <t>Total Gas</t>
  </si>
  <si>
    <t>Total Internet</t>
  </si>
  <si>
    <t>Total Rent:</t>
  </si>
  <si>
    <t>Total Home Insurance:</t>
  </si>
  <si>
    <t>CATEGORY</t>
  </si>
  <si>
    <t>SUM</t>
  </si>
  <si>
    <t>AVG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</si>
  <si>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</si>
  <si>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</si>
  <si>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</si>
  <si>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</si>
  <si>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</si>
  <si>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</si>
  <si>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</si>
  <si>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</si>
  <si>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</si>
  <si>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</si>
  <si>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</si>
  <si>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</si>
  <si>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ALCOHOL</t>
  </si>
  <si>
    <t>CANNABIS</t>
  </si>
  <si>
    <t>CC FEES</t>
  </si>
  <si>
    <t>CHARITY</t>
  </si>
  <si>
    <t>CLOTHES</t>
  </si>
  <si>
    <t>COFFEE</t>
  </si>
  <si>
    <t>DELIVERY</t>
  </si>
  <si>
    <t>DINE IN</t>
  </si>
  <si>
    <t>ENTERTAINMENT</t>
  </si>
  <si>
    <t>FURNITURE</t>
  </si>
  <si>
    <t>FLIGHTS</t>
  </si>
  <si>
    <t>GAS</t>
  </si>
  <si>
    <t>GIFTS</t>
  </si>
  <si>
    <t>GROCERIES</t>
  </si>
  <si>
    <t>HEALTH</t>
  </si>
  <si>
    <t>HOTEL</t>
  </si>
  <si>
    <t>HOUSEHOLD</t>
  </si>
  <si>
    <t>INTERNET</t>
  </si>
  <si>
    <t>MOBILE</t>
  </si>
  <si>
    <t>NEWSPAPER</t>
  </si>
  <si>
    <t>PARKING</t>
  </si>
  <si>
    <t>PETS</t>
  </si>
  <si>
    <t>SUBSCRIPTIONS</t>
  </si>
  <si>
    <t>TAKEOUT</t>
  </si>
  <si>
    <t>TECHNOLOGY</t>
  </si>
  <si>
    <t>TRANSPORTATION</t>
  </si>
  <si>
    <t>Month:</t>
  </si>
  <si>
    <t>Income:</t>
  </si>
  <si>
    <t>Matt Comm</t>
  </si>
  <si>
    <t>Subtotal:</t>
  </si>
  <si>
    <t>Shared Expenses:</t>
  </si>
  <si>
    <t>Rent</t>
  </si>
  <si>
    <t>PAID</t>
  </si>
  <si>
    <t>Insurance</t>
  </si>
  <si>
    <t>Internet</t>
  </si>
  <si>
    <t>Pet Insurance</t>
  </si>
  <si>
    <t>Cell Phones</t>
  </si>
  <si>
    <t>Enbridge</t>
  </si>
  <si>
    <t>London Hydro</t>
  </si>
  <si>
    <t xml:space="preserve">Sub </t>
  </si>
  <si>
    <t>Shared Savings (25%)</t>
  </si>
  <si>
    <t>Savings (25%)</t>
  </si>
  <si>
    <t>Sub</t>
  </si>
  <si>
    <t>Deposit to Personal Accts</t>
  </si>
  <si>
    <t>Other Stuff</t>
  </si>
  <si>
    <t>Amount</t>
  </si>
  <si>
    <t>Due Date</t>
  </si>
  <si>
    <t>Status</t>
  </si>
  <si>
    <t>AMEX Bill</t>
  </si>
  <si>
    <t>VISA Bill</t>
  </si>
  <si>
    <t>Paid</t>
  </si>
  <si>
    <t>MASTER Bill</t>
  </si>
  <si>
    <t xml:space="preserve">VISA INFINITE STATEMENT </t>
  </si>
  <si>
    <t>AMEX STATEMENT</t>
  </si>
  <si>
    <t>DATE:</t>
  </si>
  <si>
    <t>AMOUNT:</t>
  </si>
  <si>
    <t>DUE DATE:</t>
  </si>
  <si>
    <t>ITEM</t>
  </si>
  <si>
    <t>DATE</t>
  </si>
  <si>
    <t>CHARGE</t>
  </si>
  <si>
    <t xml:space="preserve">SUM of  CHARGE </t>
  </si>
  <si>
    <t>CDN TIRE STORE 00394300 WOODSTOCK</t>
  </si>
  <si>
    <t>ESSO CIRCLE K 0302 MARKHAM</t>
  </si>
  <si>
    <t>FIDO MOBILE ******6643 888-481-3436</t>
  </si>
  <si>
    <t>WW CANADA LTD 866-323-4411</t>
  </si>
  <si>
    <t>FIDO HOME ******5135 888-481-3436</t>
  </si>
  <si>
    <t>SKIPTHEDISHES WINNIPEG</t>
  </si>
  <si>
    <t>FRESHCO #9863 LONDON LONDON</t>
  </si>
  <si>
    <t>LCBO/RAO #0192 LONDON LONDON</t>
  </si>
  <si>
    <t>CLEARLY Clearly VANCOUVER</t>
  </si>
  <si>
    <t>PAYMENT RECEIVED - THANK YOU</t>
  </si>
  <si>
    <t>PAYMENT</t>
  </si>
  <si>
    <t>SHELL C02231 LONDON</t>
  </si>
  <si>
    <t>AMAZON CHANNELS AMAZON.CA</t>
  </si>
  <si>
    <t>HOTELS</t>
  </si>
  <si>
    <t>METRO 150 LONDON</t>
  </si>
  <si>
    <t>SHOPPERS DRUG MART #114 LONDON</t>
  </si>
  <si>
    <t>AMZN MKTP CA*FE0331ZE3 WWW.AMAZON.CA</t>
  </si>
  <si>
    <t>AMZN MKTP CA*TK25A50I0 WWW.AMAZON.CA</t>
  </si>
  <si>
    <t>GLOBE AND MAIL DIGITAL TORONTO</t>
  </si>
  <si>
    <t>HUDSON'S BAY #1527 LOND LONDON</t>
  </si>
  <si>
    <t>PEARSON PARKING RESERVE TORONTO</t>
  </si>
  <si>
    <t>UBER TRIP HTTPS://HELP.UB</t>
  </si>
  <si>
    <t>HILTON VANCOUVER DOWNTO VANCOUVER</t>
  </si>
  <si>
    <t>NIGHTINGALE 14451 VANCOUVER</t>
  </si>
  <si>
    <t>Grand Total</t>
  </si>
  <si>
    <t>CDNCANCERSOC-DR CDNCANC TORONTO</t>
  </si>
  <si>
    <t>AMZN MKTP CA*TK5GI5YT1 WWW.AMAZON.CA</t>
  </si>
  <si>
    <t>APPLE.COM/BILL TORONTO</t>
  </si>
  <si>
    <t>AMAZON.CA PRIME MEMBER AMAZON.CA/PRI</t>
  </si>
  <si>
    <t>DOMINOS PIZZA #10250 LONDON</t>
  </si>
  <si>
    <t>PIONEER #389 PIONEER #3 THAMESFORD</t>
  </si>
  <si>
    <t>CANADAHELPS *DONATION 877-755-1595</t>
  </si>
  <si>
    <t>PETSMART INC. 1324 LONDON</t>
  </si>
  <si>
    <t>CARTERS #3485 000003485 LONDON</t>
  </si>
  <si>
    <t>REMARKABLE OSLO</t>
  </si>
  <si>
    <t>MACEWEN LUCAN (21018) M LUCAN</t>
  </si>
  <si>
    <t>SHELBY'S LONDON</t>
  </si>
  <si>
    <t>FIREHOUSE SUBS LONDON</t>
  </si>
  <si>
    <t>PETSMART INC. 2433 LONDON</t>
  </si>
  <si>
    <t>AMZN MKTP CA*R005O0O72 WWW.AMAZON.CA</t>
  </si>
  <si>
    <t>SPOTIFY STOCKHOLM</t>
  </si>
  <si>
    <t>COFFEE CULTURE CAFE &amp; EAT</t>
  </si>
  <si>
    <t>MILOS CRAFT BEER</t>
  </si>
  <si>
    <t>TILT ARCADE BAR</t>
  </si>
  <si>
    <t>SUN WEAR INC</t>
  </si>
  <si>
    <t>DINOS FAMILY RESTAURANT</t>
  </si>
  <si>
    <t>AIR CANADA ON BOARD CA</t>
  </si>
  <si>
    <t>PUREBREAD</t>
  </si>
  <si>
    <t>MCDONALD'S #1501</t>
  </si>
  <si>
    <t>ROBSON WINE, BEER &amp; SPIRI</t>
  </si>
  <si>
    <t>MUSE DOWNTOWN</t>
  </si>
  <si>
    <t>AC BISTRO STMT CREDIT</t>
  </si>
  <si>
    <t>SWISS CHALET 1950E</t>
  </si>
  <si>
    <t>ONE PLANT  WONDERLAND</t>
  </si>
  <si>
    <t>PAYMENT - THANK YOU</t>
  </si>
  <si>
    <t>RCSS # 1091</t>
  </si>
  <si>
    <t>ONROUTE</t>
  </si>
  <si>
    <t>SESSIONS CANNABIS</t>
  </si>
  <si>
    <t>FORKED RIVER BREWING C LONDON</t>
  </si>
  <si>
    <t>PET VALU #2027 LONDON</t>
  </si>
  <si>
    <t>VIA RAIL/W3V0QS MONTREAL</t>
  </si>
  <si>
    <t>PETRO CANADA01327 LONDON</t>
  </si>
  <si>
    <t>THE HOME DEPOT #7033 LONDON</t>
  </si>
  <si>
    <t>PETSMART BURLINGTON</t>
  </si>
  <si>
    <t>NONALC</t>
  </si>
  <si>
    <t>LOVELY WEDDINGS AND EVE KITCHENER</t>
  </si>
  <si>
    <t>WEDDING</t>
  </si>
  <si>
    <t>SP DESIGNATEDDRINKS LONDON</t>
  </si>
  <si>
    <t>SWISS CHALET #1135 LONDON</t>
  </si>
  <si>
    <t>MISSISSAUGA-OAKVILLE VE OAKVILLE</t>
  </si>
  <si>
    <t>SP LAKE OF BAYS BREW BAYSVILLE</t>
  </si>
  <si>
    <t>EASTOWN BARBERSHOP LONDON</t>
  </si>
  <si>
    <t>PETSMART #3042 LONDON</t>
  </si>
  <si>
    <t>STARBUCKS LONDON</t>
  </si>
  <si>
    <t>PIZZERIA MADRE 21007365 LONDON</t>
  </si>
  <si>
    <t>UNITED AIRLINES HOUSTON</t>
  </si>
  <si>
    <t>1835-TOR RELAY PIER F MISSISSAUGA</t>
  </si>
  <si>
    <t>IAHB BEER GARDEN 00-080 HOUSTON</t>
  </si>
  <si>
    <t>AIRCANADA WINNIPEG</t>
  </si>
  <si>
    <t>HOUSTONST2573 2573 HOUSTON</t>
  </si>
  <si>
    <t>UBER EATS HTTPS://HELP.UB</t>
  </si>
  <si>
    <t>PETRO CANADA33485 LONDON</t>
  </si>
  <si>
    <t>SP VERMONTS ORIGINAL B HINESBURG</t>
  </si>
  <si>
    <t>DOMINOS PIZZA #10527 LONDON</t>
  </si>
  <si>
    <t>CINEPLEX ENTERTAINME 416-323-6600</t>
  </si>
  <si>
    <t>CINEPLEX #7112 QP LONDON</t>
  </si>
  <si>
    <t>PARAMOUNT</t>
  </si>
  <si>
    <t>VIA RAIL/A51TAT MONTREAL</t>
  </si>
  <si>
    <t>INFORMA MEMBERSHIP CHICAGO</t>
  </si>
  <si>
    <t>SHOPPERS DRUG MART #997 TORONTO</t>
  </si>
  <si>
    <t>THE ECONOMIST The Econo NEW YORK</t>
  </si>
  <si>
    <t>SP LA MOOD COMICS &amp; LONDON</t>
  </si>
  <si>
    <t>BAM*CURRY'S</t>
  </si>
  <si>
    <t>WESTERN ANIMAL CLINIC</t>
  </si>
  <si>
    <t>SWISS CHALET #1135E</t>
  </si>
  <si>
    <t>VIA RAIL CANADA INC</t>
  </si>
  <si>
    <t>WENDYS 114</t>
  </si>
  <si>
    <t>PIZZA PROJEKT</t>
  </si>
  <si>
    <t>FLEETWAY</t>
  </si>
  <si>
    <t>DAIRY QUEEN #11990</t>
  </si>
  <si>
    <t>PALASAD BILLIARDS LTD</t>
  </si>
  <si>
    <t>L A MOOD LONDON</t>
  </si>
  <si>
    <t>AMAZON.CA*RA70B9G22 AMAZON.CA</t>
  </si>
  <si>
    <t>AMZN MKTP CA*RH7IT9WD1 WWW.AMAZON.CA</t>
  </si>
  <si>
    <t>BUDWEISER GARDENS 519-432-8894</t>
  </si>
  <si>
    <t>AMAZON.CA*RA0OA4S02 AMAZON.CA</t>
  </si>
  <si>
    <t>MR. LUBE LONDON</t>
  </si>
  <si>
    <t>ONROUTE WOODSTOCK W #11 WOODSTOCK</t>
  </si>
  <si>
    <t>LCBO/RAO #0575 LONDON LONDON</t>
  </si>
  <si>
    <t>ROGERS ******3772 888-764-3771</t>
  </si>
  <si>
    <t>MR. LUBE</t>
  </si>
  <si>
    <t>SOBEYS #4748 LONDON LONDON</t>
  </si>
  <si>
    <t>SP PARTAKE BREWING CALGARY</t>
  </si>
  <si>
    <t>DOGTOPIA OF LONDON 00-0 LONDON</t>
  </si>
  <si>
    <t>WESTJET AIRLINES 344000 CANCUN</t>
  </si>
  <si>
    <t>A&amp;W #4943 MISSISSAUGA MISSISSAUGA</t>
  </si>
  <si>
    <t>SHOPPERS DRUG MART 732 LONDON</t>
  </si>
  <si>
    <t>STARBUCKS COFFEE #51 LONDON</t>
  </si>
  <si>
    <t>MARY BROWNS 6335</t>
  </si>
  <si>
    <t>MALIBU RESTAURANT</t>
  </si>
  <si>
    <t>SQ *V FOOD SPOT</t>
  </si>
  <si>
    <t>SQ *SIDETRACK: A WORTLEY</t>
  </si>
  <si>
    <t>OLD SOUTH DENTISTRY</t>
  </si>
  <si>
    <t>PLAZA SUSHI OMAKASE 001 LONDON</t>
  </si>
  <si>
    <t>LASIK MD LONDON LONDON LONDON</t>
  </si>
  <si>
    <t>PRIME VIDEO</t>
  </si>
  <si>
    <t>NESPRESSO CANADA 855-325-5781</t>
  </si>
  <si>
    <t>OTHER/NONE</t>
  </si>
  <si>
    <t>MARKET WOODSTOCK</t>
  </si>
  <si>
    <t>CANADIAN TIRE #058 LONDON</t>
  </si>
  <si>
    <t>RED LOBSTER 8116 LONDON</t>
  </si>
  <si>
    <t>SHOPPERS DRUG MART #11 LONDON</t>
  </si>
  <si>
    <t>CANADIAN TIRE #208 LONDON</t>
  </si>
  <si>
    <t>BAM*MY ROTI PLACE/MY DO ALLISTON</t>
  </si>
  <si>
    <t>AMZN MKTP CA*LV58U57K3 WWW.AMAZON.CA</t>
  </si>
  <si>
    <t>AMZN MKTP CA*YU1Q08IC3 WWW.AMAZON.CA</t>
  </si>
  <si>
    <t>CHARCOAL STEAKHOUSE KITCHENER</t>
  </si>
  <si>
    <t>ULTRAMAR #52058 ULTRAMA LONDON</t>
  </si>
  <si>
    <t>JERSEY MIKES' SUBS LONDON</t>
  </si>
  <si>
    <t>BP#8499543PARMA TRAVEL PARMA</t>
  </si>
  <si>
    <t>DETROIT INTERNATIONAL D WARREN</t>
  </si>
  <si>
    <t>MCDONALD'S F23358 00000 HARTFORD</t>
  </si>
  <si>
    <t>TIM HORTONS #3870 WEST LORNE</t>
  </si>
  <si>
    <t>TST* BEYOND JUICE - LIV LIVONIA</t>
  </si>
  <si>
    <t>TST* CELESTE &amp; DISCO 30 CHICAGO</t>
  </si>
  <si>
    <t>BLUE WATER BRIDGE TOLL PORT HURON</t>
  </si>
  <si>
    <t>DDBURGERBURGER DOWNTOWN TORONT</t>
  </si>
  <si>
    <t>IVANOPOBLANO London</t>
  </si>
  <si>
    <t>DISNEY PLUS ADY</t>
  </si>
  <si>
    <t>SPOTIFY                 STOCKHOLM</t>
  </si>
  <si>
    <t>AMZN MKTP CA*RC2S09NK0  WWW.AMAZON.CA</t>
  </si>
  <si>
    <t>APPLE.COM/BILL          TORONTO</t>
  </si>
  <si>
    <t>PET VALU #2027          LONDON</t>
  </si>
  <si>
    <t>DISNEY PLUS RECURRING   BURBANK</t>
  </si>
  <si>
    <t>Disney+</t>
  </si>
  <si>
    <t>SHOPPERS DRUG MART #098 TORONTO</t>
  </si>
  <si>
    <t>VIA RAIL CANADA INC     MONTREAL</t>
  </si>
  <si>
    <t>CINEPLEX #7112     QP   LONDON</t>
  </si>
  <si>
    <t>CINEPLEX ENTERTAINME    416-323-6600</t>
  </si>
  <si>
    <t>GLOBAL-E* EXPRESSO DIS  VANCOUVER</t>
  </si>
  <si>
    <t>GLOBE AND MAIL DIGITAL  TORONTO</t>
  </si>
  <si>
    <t>SP LAKE OF BAYS BREW    BAYSVILLE</t>
  </si>
  <si>
    <t>AMAZON CHANNELS         AMAZON.CA</t>
  </si>
  <si>
    <t>NEW BALANCE CANADA INC. MISSISSAUGA</t>
  </si>
  <si>
    <t>PETRO CANADA33410       LONDON</t>
  </si>
  <si>
    <t>Pur &amp; Simple - London S LONDON</t>
  </si>
  <si>
    <t>CANADAHELPS *DONATION   877-755-1595</t>
  </si>
  <si>
    <t>LCBO/RAO #0192 LONDON   LONDON</t>
  </si>
  <si>
    <t>STORM STAYED BREWING CO LONDON</t>
  </si>
  <si>
    <t>AMAZON.CA PRIME MEMBER  AMAZON.CA/PRI</t>
  </si>
  <si>
    <t>DELTA AIR LINES         ATLANTA</t>
  </si>
  <si>
    <t>SHELBY'S                LONDON</t>
  </si>
  <si>
    <t>TST-MERLA-MAE ICE CREA  LONDON</t>
  </si>
  <si>
    <t>CRAFT FARMACY           LONDON</t>
  </si>
  <si>
    <t>MARK'S STORE #163       LONDON</t>
  </si>
  <si>
    <t>NESTLÉ CANADA INC       TORONTO</t>
  </si>
  <si>
    <t>PETSMART INC. 0924      LONDON</t>
  </si>
  <si>
    <t>SHOPPERS DRUG MART #076 LONDON</t>
  </si>
  <si>
    <t>VIA RAIL/1NGH82         MONTREAL</t>
  </si>
  <si>
    <t>YASMINE'S RESTAURANT 00 LONDON</t>
  </si>
  <si>
    <t>EASTOWN BARBERSHOP      LONDON</t>
  </si>
  <si>
    <t>METRO  150              LONDON</t>
  </si>
  <si>
    <t>VIA RAIL/R31F4E         MONTREAL</t>
  </si>
  <si>
    <t>MEJURI.COM              DOWNTOWN TORONT</t>
  </si>
  <si>
    <t>GIANT TIGER #135 LONDON LONDON</t>
  </si>
  <si>
    <t>ROGERS ******3772       888-764-3771</t>
  </si>
  <si>
    <t>WENDYS 114              LONDON</t>
  </si>
  <si>
    <t>AMZN MKTP CA*MA7Y34DV3  WWW.AMAZON.CA</t>
  </si>
  <si>
    <t>FRESHCO #9863 LONDON    LONDON</t>
  </si>
  <si>
    <t>MONTANAS COOKHOUSE 3    LONDON</t>
  </si>
  <si>
    <t>MR. LUBE                LONDON</t>
  </si>
  <si>
    <t>WW CANADA LTD           866-323-4411</t>
  </si>
  <si>
    <t>FIDO MOBILE ******6643  888-481-3436</t>
  </si>
  <si>
    <t>ADAMS ICE CREAM KINGDOM</t>
  </si>
  <si>
    <t>MCDONALDS #1501</t>
  </si>
  <si>
    <t>FORKED RIVER BREWING C</t>
  </si>
  <si>
    <t>WESTERN MEATS + DELI</t>
  </si>
  <si>
    <t>PLAYER'S CARDS</t>
  </si>
  <si>
    <t>LOBLAWS</t>
  </si>
  <si>
    <t>SOLO'S PIZZA</t>
  </si>
  <si>
    <t>ARCHIES SEAFOOD</t>
  </si>
  <si>
    <t>Merla Mae Ice Cream</t>
  </si>
  <si>
    <t>Car Insurance</t>
  </si>
  <si>
    <t>Shared Savings (30%)</t>
  </si>
  <si>
    <t>Wedding (10%)</t>
  </si>
  <si>
    <t>Retirement  (10%)</t>
  </si>
  <si>
    <t>House (10%)</t>
  </si>
  <si>
    <t>Deposit to Personal Acct</t>
  </si>
  <si>
    <t>Remainder:</t>
  </si>
  <si>
    <t>Shared</t>
  </si>
  <si>
    <t>sub</t>
  </si>
  <si>
    <t>Total Paid by Matt</t>
  </si>
  <si>
    <t>Total Paid by Nicole</t>
  </si>
  <si>
    <t>COUSIN VINNYS PIZZA     LONDON</t>
  </si>
  <si>
    <t>AMZN MKTP CA*RJ9L04E10  WWW.AMAZON.CA</t>
  </si>
  <si>
    <t>AMZN MKTP CA*RS01P5Y62  WWW.AMAZON.CA</t>
  </si>
  <si>
    <t>AMZN MKTP CA*RS43X3Y32  WWW.AMAZON.CA</t>
  </si>
  <si>
    <t>AMZN MKTP CA*RS5756YP2  WWW.AMAZON.CA</t>
  </si>
  <si>
    <t>PIONEER # 371 PIONEER # LONDON</t>
  </si>
  <si>
    <t>TIM HORTONS #5911       ARTHUR</t>
  </si>
  <si>
    <t>AIRCANADA               WINNIPEG</t>
  </si>
  <si>
    <t>BLUE MTN F&amp;B LODGES 162 Blue Mountains</t>
  </si>
  <si>
    <t>UBER EATS               HTTPS://HELP.UB</t>
  </si>
  <si>
    <t>KNIX WEAR INC           TORONTO</t>
  </si>
  <si>
    <t>FAMOUS PLAYER #7422QP   LONDON</t>
  </si>
  <si>
    <t>HUNTR.CO                SEATTLE</t>
  </si>
  <si>
    <t>CANADIAN TIRE #130      LONDON</t>
  </si>
  <si>
    <t>PETSMART INC. 1324      LONDON</t>
  </si>
  <si>
    <t>SHELL C02231            LONDON</t>
  </si>
  <si>
    <t>MCDONALD'S #1501        LONDON</t>
  </si>
  <si>
    <t>MCDONALD'S #4040        LONDON</t>
  </si>
  <si>
    <t>AMZN MKTP CA*R73SY8F10  WWW.AMAZON.CA</t>
  </si>
  <si>
    <t>AMZN MKTP CA*RC1CI5Q61  WWW.AMAZON.CA</t>
  </si>
  <si>
    <t>FOREST OF FLOWERS LONDO LONDON</t>
  </si>
  <si>
    <t>MR. PUFFS WHITE OAKS 00 LONDON</t>
  </si>
  <si>
    <t>PETRO CANADA33485       LONDON</t>
  </si>
  <si>
    <t>SOLO ON MAIN 001        PORT STANLEY</t>
  </si>
  <si>
    <t>SP VAKA CHOCOLATE       LONDON</t>
  </si>
  <si>
    <t>FARM BOY #91 LONDON     LONDON</t>
  </si>
  <si>
    <t>MJ (LCC) LP 211019072   LONDON</t>
  </si>
  <si>
    <t>BEERTOWN LONDON</t>
  </si>
  <si>
    <t>PET VALU</t>
  </si>
  <si>
    <t>FRESHLY SQUEEZED</t>
  </si>
  <si>
    <t>OHBOMBAY.CA</t>
  </si>
  <si>
    <t>WINKS EATERY</t>
  </si>
  <si>
    <t>Mortgage</t>
  </si>
  <si>
    <t>MEMBERSHIP FEE</t>
  </si>
  <si>
    <t>SPOTIFY</t>
  </si>
  <si>
    <t>LONDON BREWING          London</t>
  </si>
  <si>
    <t>SUBSCRIPTION SERVICES</t>
  </si>
  <si>
    <t>PLAYSTATION NETWORK     877-971-7669</t>
  </si>
  <si>
    <t>AIRBNB * HMCXSYYFDD     LONDON</t>
  </si>
  <si>
    <t>CANADIAN TIRE #058      LONDON</t>
  </si>
  <si>
    <t>DOLLARAMA # 608         LONDON</t>
  </si>
  <si>
    <t>REDBERRY SHORE RESTAURA MISSISSAUGA</t>
  </si>
  <si>
    <t>THE HOME DEPOT #7033    LONDON</t>
  </si>
  <si>
    <t>WINNERS 413             LONDON</t>
  </si>
  <si>
    <t>CHURCH'S TEXAS CHICKEN  LONDON</t>
  </si>
  <si>
    <t>LINKEDIN CORPORATION    MOUNTAIN VIEW</t>
  </si>
  <si>
    <t>AIRBNB * HMBW5YSC8Z     LONDON</t>
  </si>
  <si>
    <t>AIRBNB * HMFAM9TBZ5     LONDON</t>
  </si>
  <si>
    <t>AMZN MKTP CA*RM7ZA5CS2  WWW.AMAZON.CA</t>
  </si>
  <si>
    <t>STARBUCKS COFFEE #51    LONDON</t>
  </si>
  <si>
    <t>U-HAUL SAK'S MARKET P   LONDON</t>
  </si>
  <si>
    <t>BARBURRITO FRESH MEXICA LONDON</t>
  </si>
  <si>
    <t>KNIX WEAR INC</t>
  </si>
  <si>
    <t>RED LOBSTER 8116        LONDON</t>
  </si>
  <si>
    <t>CPC SCP/0009925491523   OTTAWA</t>
  </si>
  <si>
    <t>SP ECOBEE-CA            TORONTO</t>
  </si>
  <si>
    <t>PETSMART INC. 2433      LONDON</t>
  </si>
  <si>
    <t>PIONEER STN #131 PIONEE LONDON</t>
  </si>
  <si>
    <t>HONK - CAN              866-675-7337</t>
  </si>
  <si>
    <t>WESTJET                 CALGARY</t>
  </si>
  <si>
    <t>Sept</t>
  </si>
  <si>
    <t>Reliance (Water Heater)</t>
  </si>
  <si>
    <t>MASTER</t>
  </si>
  <si>
    <t>NATIONAL CANADA C133    LONDON</t>
  </si>
  <si>
    <t>COUCHE-TARD # 1274      LACHINE</t>
  </si>
  <si>
    <t>DUNDAS ST ESSO 0322     LONDON</t>
  </si>
  <si>
    <t>ONROUTE                 MALLORYTOWN</t>
  </si>
  <si>
    <t>SHELL FLYING J 862      AYR</t>
  </si>
  <si>
    <t>AGENCE DE MOBILITE DURA MONTREAL</t>
  </si>
  <si>
    <t>SAQ23210MONT-ROYAL E-ME MONTREAL</t>
  </si>
  <si>
    <t>STEAK FRITES (ST-ANTOIN MONTREAL</t>
  </si>
  <si>
    <t>TAVERNE LES TORCHES TAV MONTREAL</t>
  </si>
  <si>
    <t>UBER TRIP               HTTPS://HELP.UB</t>
  </si>
  <si>
    <t>LCBO/RAO #7777 TORONTO  TORONTO</t>
  </si>
  <si>
    <t>MARKET                  ODESSA</t>
  </si>
  <si>
    <t>REXALL PHARMACY #0851 T TORONTO</t>
  </si>
  <si>
    <t>THE GLOBE AND MAIL INC  TORONTO</t>
  </si>
  <si>
    <t>FORKED RIVER BREWING C  LONDON</t>
  </si>
  <si>
    <t>THE GREAT CANADIAN BAGE LONDON</t>
  </si>
  <si>
    <t>GLOBAL PET FOODS        LONDON</t>
  </si>
  <si>
    <t>VIA RAIL                MONTREAL</t>
  </si>
  <si>
    <t>VIA RAIL/31PZJF         MONTREAL</t>
  </si>
  <si>
    <t>VIA RAIL/YJ0QYY         MONTREAL</t>
  </si>
  <si>
    <t>TWISTEE TREAT           London</t>
  </si>
  <si>
    <t>AMAZON.CA*Z84ZH94A0     AMAZON.CA</t>
  </si>
  <si>
    <t>TOO GOOD TO GO CANADA T VANCOUVER</t>
  </si>
  <si>
    <t>DAVID YURMAN - ECOMM    212-896-1550</t>
  </si>
  <si>
    <t>AMZN MKTP CA*ZT5S46OS0  WWW.AMAZON.CA</t>
  </si>
  <si>
    <t>AMZN MKTP CA*ZT9OC4LE1  WWW.AMAZON.CA</t>
  </si>
  <si>
    <t>LOCOMOTIVE ESPRESSO SOU London</t>
  </si>
  <si>
    <t>CHICK-FIL-A WHARNCLIFFE LONDON</t>
  </si>
  <si>
    <t>PET VALU #2323          LONDON</t>
  </si>
  <si>
    <t>TIM HORTONS #270        PARRY SOUND</t>
  </si>
  <si>
    <t>CANADIAN TIRE #078      PARRY SOUND</t>
  </si>
  <si>
    <t>MCDONALD'S #40677       BARRIE</t>
  </si>
  <si>
    <t>PIONEER #332 PIONEER #3 PARRY SOUND</t>
  </si>
  <si>
    <t>PETSMART #3042          LONDON</t>
  </si>
  <si>
    <t>Insurance (Home+Auto)</t>
  </si>
  <si>
    <t>Personal Accts</t>
  </si>
  <si>
    <t>SUBSCRIPTIONS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</si>
</sst>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.00_);_(&quot;$&quot;* \(#,##0.00\);_(&quot;$&quot;* &quot;-&quot;??_);_(@_)"/>
    <numFmt numFmtId="165" formatCode="&quot;$&quot;#,##0.00"/>
    <numFmt numFmtId="166" formatCode="mmm d"/>
    <numFmt numFmtId="167" formatCode="d mmm yyyy"/>
    <numFmt numFmtId="168" formatCode="mm/dd/yyyy"/>
    <numFmt numFmtId="169" formatCode="m/d/yyyy"/>
    <numFmt numFmtId="170" formatCode="d mmmm yyyy"/>
    <numFmt numFmtId="171" formatCode="mmmm d"/>
    <numFmt numFmtId="172" formatCode="dd mmm yyyy"/>
    <numFmt numFmtId="173" formatCode="&quot;$&quot;#,##0"/>
  </numFmts>
  <fonts count="1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i/>
      <color theme="1"/>
      <name val="Arial"/>
    </font>
    <font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>
      <b/>
      <u/>
      <sz val="12.0"/>
      <color theme="1"/>
      <name val="Arial"/>
    </font>
    <font>
      <b/>
      <sz val="12.0"/>
      <color theme="1"/>
      <name val="Arial"/>
    </font>
    <font>
      <color rgb="FF1C1C1C"/>
      <name val="Verdana"/>
    </font>
    <font>
      <color rgb="FF353535"/>
      <name val="Arial"/>
    </font>
    <font>
      <color rgb="FF313131"/>
      <name val="Arial"/>
      <scheme val="minor"/>
    </font>
    <font>
      <u/>
      <color rgb="FF0000FF"/>
      <name val="Arial"/>
    </font>
    <font>
      <sz val="12.0"/>
      <color rgb="FF313131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4" numFmtId="165" xfId="0" applyAlignment="1" applyFont="1" applyNumberFormat="1">
      <alignment readingOrder="0"/>
    </xf>
    <xf borderId="0" fillId="0" fontId="4" numFmtId="165" xfId="0" applyFont="1" applyNumberFormat="1"/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vertical="bottom"/>
    </xf>
    <xf borderId="0" fillId="0" fontId="5" numFmtId="164" xfId="0" applyAlignment="1" applyFont="1" applyNumberFormat="1">
      <alignment readingOrder="0" vertical="bottom"/>
    </xf>
    <xf borderId="0" fillId="0" fontId="5" numFmtId="165" xfId="0" applyAlignment="1" applyFont="1" applyNumberFormat="1">
      <alignment readingOrder="0" vertical="bottom"/>
    </xf>
    <xf borderId="0" fillId="0" fontId="6" numFmtId="164" xfId="0" applyFont="1" applyNumberFormat="1"/>
    <xf borderId="0" fillId="0" fontId="6" numFmtId="164" xfId="0" applyAlignment="1" applyFont="1" applyNumberFormat="1">
      <alignment readingOrder="0"/>
    </xf>
    <xf borderId="0" fillId="0" fontId="5" numFmtId="166" xfId="0" applyAlignment="1" applyFont="1" applyNumberFormat="1">
      <alignment vertical="bottom"/>
    </xf>
    <xf borderId="0" fillId="0" fontId="5" numFmtId="165" xfId="0" applyAlignment="1" applyFont="1" applyNumberFormat="1">
      <alignment horizontal="right" readingOrder="0" vertical="bottom"/>
    </xf>
    <xf borderId="0" fillId="0" fontId="5" numFmtId="9" xfId="0" applyAlignment="1" applyFont="1" applyNumberForma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9" xfId="0" applyAlignment="1" applyFont="1" applyNumberFormat="1">
      <alignment horizontal="right" vertical="bottom"/>
    </xf>
    <xf borderId="0" fillId="0" fontId="5" numFmtId="10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5" numFmtId="166" xfId="0" applyAlignment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0" fillId="0" fontId="5" numFmtId="167" xfId="0" applyAlignment="1" applyFont="1" applyNumberFormat="1">
      <alignment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1" numFmtId="168" xfId="0" applyAlignment="1" applyFont="1" applyNumberFormat="1">
      <alignment horizontal="right" readingOrder="0" vertical="bottom"/>
    </xf>
    <xf borderId="0" fillId="0" fontId="1" numFmtId="168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readingOrder="0" vertical="bottom"/>
    </xf>
    <xf borderId="0" fillId="0" fontId="1" numFmtId="167" xfId="0" applyAlignment="1" applyFont="1" applyNumberFormat="1">
      <alignment horizontal="right" vertical="bottom"/>
    </xf>
    <xf borderId="0" fillId="0" fontId="5" numFmtId="169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2" fontId="5" numFmtId="164" xfId="0" applyAlignment="1" applyFill="1" applyFont="1" applyNumberFormat="1">
      <alignment vertical="bottom"/>
    </xf>
    <xf borderId="0" fillId="3" fontId="9" numFmtId="164" xfId="0" applyAlignment="1" applyFill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8" xfId="0" applyAlignment="1" applyFont="1" applyNumberFormat="1">
      <alignment horizontal="right" vertical="bottom"/>
    </xf>
    <xf borderId="0" fillId="0" fontId="4" numFmtId="166" xfId="0" applyAlignment="1" applyFont="1" applyNumberFormat="1">
      <alignment readingOrder="0"/>
    </xf>
    <xf borderId="0" fillId="0" fontId="4" numFmtId="9" xfId="0" applyFont="1" applyNumberFormat="1"/>
    <xf borderId="2" fillId="0" fontId="4" numFmtId="0" xfId="0" applyBorder="1" applyFont="1"/>
    <xf borderId="0" fillId="0" fontId="4" numFmtId="167" xfId="0" applyFont="1" applyNumberFormat="1"/>
    <xf borderId="2" fillId="0" fontId="4" numFmtId="0" xfId="0" applyAlignment="1" applyBorder="1" applyFont="1">
      <alignment readingOrder="0"/>
    </xf>
    <xf borderId="0" fillId="3" fontId="9" numFmtId="164" xfId="0" applyAlignment="1" applyFont="1" applyNumberFormat="1">
      <alignment horizontal="right" readingOrder="0" vertical="bottom"/>
    </xf>
    <xf borderId="0" fillId="0" fontId="5" numFmtId="167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4" numFmtId="170" xfId="0" applyAlignment="1" applyFont="1" applyNumberFormat="1">
      <alignment readingOrder="0"/>
    </xf>
    <xf borderId="0" fillId="3" fontId="9" numFmtId="164" xfId="0" applyAlignment="1" applyFont="1" applyNumberFormat="1">
      <alignment horizontal="left" vertical="bottom"/>
    </xf>
    <xf borderId="0" fillId="0" fontId="4" numFmtId="171" xfId="0" applyAlignment="1" applyFont="1" applyNumberFormat="1">
      <alignment readingOrder="0"/>
    </xf>
    <xf borderId="0" fillId="0" fontId="10" numFmtId="165" xfId="0" applyAlignment="1" applyFont="1" applyNumberFormat="1">
      <alignment readingOrder="0"/>
    </xf>
    <xf borderId="0" fillId="0" fontId="11" numFmtId="165" xfId="0" applyAlignment="1" applyFont="1" applyNumberFormat="1">
      <alignment horizontal="right" readingOrder="0"/>
    </xf>
    <xf borderId="0" fillId="0" fontId="4" numFmtId="165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0" fontId="5" numFmtId="167" xfId="0" applyAlignment="1" applyFont="1" applyNumberFormat="1">
      <alignment horizontal="right" vertical="bottom"/>
    </xf>
    <xf borderId="0" fillId="0" fontId="5" numFmtId="172" xfId="0" applyAlignment="1" applyFont="1" applyNumberFormat="1">
      <alignment horizontal="right" vertical="bottom"/>
    </xf>
    <xf borderId="0" fillId="0" fontId="5" numFmtId="170" xfId="0" applyAlignment="1" applyFont="1" applyNumberFormat="1">
      <alignment horizontal="right" vertical="bottom"/>
    </xf>
    <xf borderId="0" fillId="0" fontId="5" numFmtId="168" xfId="0" applyAlignment="1" applyFont="1" applyNumberFormat="1">
      <alignment horizontal="right" readingOrder="0" vertical="bottom"/>
    </xf>
    <xf borderId="0" fillId="0" fontId="4" numFmtId="9" xfId="0" applyAlignment="1" applyFont="1" applyNumberFormat="1">
      <alignment readingOrder="0"/>
    </xf>
    <xf borderId="2" fillId="0" fontId="2" numFmtId="0" xfId="0" applyAlignment="1" applyBorder="1" applyFont="1">
      <alignment readingOrder="0"/>
    </xf>
    <xf borderId="2" fillId="0" fontId="4" numFmtId="9" xfId="0" applyAlignment="1" applyBorder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12" numFmtId="0" xfId="0" applyAlignment="1" applyFont="1">
      <alignment readingOrder="0" vertical="bottom"/>
    </xf>
    <xf borderId="0" fillId="0" fontId="4" numFmtId="0" xfId="0" applyFont="1"/>
    <xf borderId="0" fillId="0" fontId="4" numFmtId="173" xfId="0" applyAlignment="1" applyFont="1" applyNumberFormat="1">
      <alignment readingOrder="0"/>
    </xf>
    <xf borderId="0" fillId="0" fontId="13" numFmtId="165" xfId="0" applyAlignment="1" applyFont="1" applyNumberFormat="1">
      <alignment horizontal="left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pivotCacheDefinition" Target="pivotCache/pivotCacheDefinition8.xml"/><Relationship Id="rId20" Type="http://schemas.openxmlformats.org/officeDocument/2006/relationships/worksheet" Target="worksheets/sheet16.xml"/><Relationship Id="rId42" Type="http://schemas.openxmlformats.org/officeDocument/2006/relationships/pivotCacheDefinition" Target="pivotCache/pivotCacheDefinition10.xml"/><Relationship Id="rId41" Type="http://schemas.openxmlformats.org/officeDocument/2006/relationships/pivotCacheDefinition" Target="pivotCache/pivotCacheDefinition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pivotCacheDefinition" Target="pivotCache/pivotCacheDefinition3.xml"/><Relationship Id="rId12" Type="http://schemas.openxmlformats.org/officeDocument/2006/relationships/worksheet" Target="worksheets/sheet8.xml"/><Relationship Id="rId34" Type="http://schemas.openxmlformats.org/officeDocument/2006/relationships/pivotCacheDefinition" Target="pivotCache/pivotCacheDefinition2.xml"/><Relationship Id="rId15" Type="http://schemas.openxmlformats.org/officeDocument/2006/relationships/worksheet" Target="worksheets/sheet11.xml"/><Relationship Id="rId37" Type="http://schemas.openxmlformats.org/officeDocument/2006/relationships/pivotCacheDefinition" Target="pivotCache/pivotCacheDefinition5.xml"/><Relationship Id="rId14" Type="http://schemas.openxmlformats.org/officeDocument/2006/relationships/worksheet" Target="worksheets/sheet10.xml"/><Relationship Id="rId36" Type="http://schemas.openxmlformats.org/officeDocument/2006/relationships/pivotCacheDefinition" Target="pivotCache/pivotCacheDefinition4.xml"/><Relationship Id="rId17" Type="http://schemas.openxmlformats.org/officeDocument/2006/relationships/worksheet" Target="worksheets/sheet13.xml"/><Relationship Id="rId39" Type="http://schemas.openxmlformats.org/officeDocument/2006/relationships/pivotCacheDefinition" Target="pivotCache/pivotCacheDefinition7.xml"/><Relationship Id="rId16" Type="http://schemas.openxmlformats.org/officeDocument/2006/relationships/worksheet" Target="worksheets/sheet12.xml"/><Relationship Id="rId38" Type="http://schemas.openxmlformats.org/officeDocument/2006/relationships/pivotCacheDefinition" Target="pivotCache/pivotCacheDefinition6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6:E81" sheet="CC - Jan 24"/>
  </cacheSource>
  <cacheFields>
    <cacheField name="ITEM" numFmtId="0">
      <sharedItems>
        <s v="CDN TIRE STORE 00394300 WOODSTOCK"/>
        <s v="ESSO CIRCLE K 0302 MARKHAM"/>
        <s v="FIDO MOBILE ******6643 888-481-3436"/>
        <s v="WW CANADA LTD 866-323-4411"/>
        <s v="FIDO HOME ******5135 888-481-3436"/>
        <s v="SKIPTHEDISHES WINNIPEG"/>
        <s v="FRESHCO #9863 LONDON LONDON"/>
        <s v="LCBO/RAO #0192 LONDON LONDON"/>
        <s v="CLEARLY Clearly VANCOUVER"/>
        <s v="PAYMENT RECEIVED - THANK YOU"/>
        <s v="SHELL C02231 LONDON"/>
        <s v="AMAZON CHANNELS AMAZON.CA"/>
        <s v="METRO 150 LONDON"/>
        <s v="SHOPPERS DRUG MART #114 LONDON"/>
        <s v="AMZN MKTP CA*FE0331ZE3 WWW.AMAZON.CA"/>
        <s v="AMZN MKTP CA*TK25A50I0 WWW.AMAZON.CA"/>
        <s v="GLOBE AND MAIL DIGITAL TORONTO"/>
        <s v="HUDSON'S BAY #1527 LOND LONDON"/>
        <s v="PEARSON PARKING RESERVE TORONTO"/>
        <s v="UBER TRIP HTTPS://HELP.UB"/>
        <s v="HILTON VANCOUVER DOWNTO VANCOUVER"/>
        <s v="NIGHTINGALE 14451 VANCOUVER"/>
        <s v="CDNCANCERSOC-DR CDNCANC TORONTO"/>
        <s v="AMZN MKTP CA*TK5GI5YT1 WWW.AMAZON.CA"/>
        <s v="APPLE.COM/BILL TORONTO"/>
        <s v="AMAZON.CA PRIME MEMBER AMAZON.CA/PRI"/>
        <s v="DOMINOS PIZZA #10250 LONDON"/>
        <s v="PIONEER #389 PIONEER #3 THAMESFORD"/>
        <s v="CANADAHELPS *DONATION 877-755-1595"/>
        <s v="PETSMART INC. 1324 LONDON"/>
        <s v="CARTERS #3485 000003485 LONDON"/>
        <s v="REMARKABLE OSLO"/>
        <s v="MACEWEN LUCAN (21018) M LUCAN"/>
        <s v="SHELBY'S LONDON"/>
        <s v="FIREHOUSE SUBS LONDON"/>
        <s v="PETSMART INC. 2433 LONDON"/>
        <s v="AMZN MKTP CA*R005O0O72 WWW.AMAZON.CA"/>
        <s v="SPOTIFY STOCKHOLM"/>
        <s v="COFFEE CULTURE CAFE &amp; EAT"/>
        <s v="MILOS CRAFT BEER"/>
        <s v="TILT ARCADE BAR"/>
        <s v="SUN WEAR INC"/>
        <s v="DINOS FAMILY RESTAURANT"/>
        <s v="AIR CANADA ON BOARD CA"/>
        <s v="PUREBREAD"/>
        <s v="MCDONALD'S #1501"/>
        <s v="ROBSON WINE, BEER &amp; SPIRI"/>
        <s v="MUSE DOWNTOWN"/>
        <s v="AC BISTRO STMT CREDIT"/>
        <s v="SWISS CHALET 1950E"/>
        <s v="ONE PLANT  WONDERLAND"/>
        <s v="PAYMENT - THANK YOU"/>
        <s v="RCSS # 1091"/>
        <s v="ONROUTE"/>
        <s v="SESSIONS CANNABIS"/>
      </sharedItems>
    </cacheField>
    <cacheField name=" DATE " numFmtId="169">
      <sharedItems containsSemiMixedTypes="0" containsDate="1" containsString="0">
        <d v="2023-12-23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  <d v="2024-01-02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3T00:00:00Z"/>
        <d v="2024-01-14T00:00:00Z"/>
        <d v="2024-01-15T00:00:00Z"/>
        <d v="2024-01-18T00:00:00Z"/>
        <d v="2024-01-20T00:00:00Z"/>
        <d v="2024-01-21T00:00:00Z"/>
        <d v="2024-01-22T00:00:00Z"/>
        <d v="2024-01-23T00:00:00Z"/>
        <d v="2024-01-24T00:00:00Z"/>
        <d v="2024-01-19T00:00:00Z"/>
        <d v="2024-01-04T00:00:00Z"/>
        <d v="2023-12-22T00:00:00Z"/>
      </sharedItems>
    </cacheField>
    <cacheField name=" CHARGE " numFmtId="164">
      <sharedItems containsSemiMixedTypes="0" containsString="0" containsNumber="1">
        <n v="90.98"/>
        <n v="62.25"/>
        <n v="151.43"/>
        <n v="13.56"/>
        <n v="99.44"/>
        <n v="21.08"/>
        <n v="136.12"/>
        <n v="41.9"/>
        <n v="210.77"/>
        <n v="-3646.85"/>
        <n v="54.12"/>
        <n v="5.64"/>
        <n v="72.1"/>
        <n v="28.15"/>
        <n v="11.83"/>
        <n v="13.55"/>
        <n v="33.79"/>
        <n v="8.99"/>
        <n v="337.87"/>
        <n v="136.41"/>
        <n v="13.31"/>
        <n v="901.44"/>
        <n v="233.52"/>
        <n v="3.0"/>
        <n v="31.79"/>
        <n v="10.16"/>
        <n v="27.05"/>
        <n v="6.35"/>
        <n v="50.0"/>
        <n v="5.78"/>
        <n v="5.41"/>
        <n v="14.92"/>
        <n v="30.6"/>
        <n v="19.19"/>
        <n v="4.51"/>
        <n v="19.2"/>
        <n v="183.38"/>
        <n v="11.29"/>
        <n v="107.27"/>
        <n v="25.55"/>
        <n v="53.05"/>
        <n v="200.0"/>
        <n v="18.03"/>
        <n v="22.28"/>
        <n v="15.48"/>
        <n v="58.07"/>
        <n v="4.99"/>
        <n v="60.38"/>
        <n v="17.5"/>
        <n v="14.68"/>
        <n v="41.0"/>
        <n v="296.81"/>
        <n v="133.33"/>
        <n v="16.94"/>
        <n v="4.08"/>
        <n v="131.65"/>
        <n v="10.2"/>
        <n v="14.69"/>
        <n v="45.08"/>
        <n v="15.7"/>
        <n v="27.97"/>
        <n v="30.83"/>
        <n v="25.32"/>
        <n v="39.68"/>
        <n v="23.75"/>
        <n v="-3.24"/>
        <n v="48.06"/>
        <n v="80.03"/>
        <n v="-937.36"/>
        <n v="30.67"/>
        <n v="27.92"/>
        <n v="26.0"/>
      </sharedItems>
    </cacheField>
    <cacheField name="CATEGORY" numFmtId="0">
      <sharedItems>
        <s v="HOUSEHOLD"/>
        <s v="GAS"/>
        <s v="MOBILE"/>
        <s v="HEALTH"/>
        <s v="INTERNET"/>
        <s v="DELIVERY"/>
        <s v="GROCERIES"/>
        <s v="ALCOHOL"/>
        <s v="PAYMENT"/>
        <s v="SUBSCRIPTIONS"/>
        <s v="NEWSPAPER"/>
        <s v="CLOTHES"/>
        <s v="PARKING"/>
        <s v="TRANSPORTATION"/>
        <s v="HOTELS"/>
        <s v="DINE IN"/>
        <s v="CHARITY"/>
        <s v="TECHNOLOGY"/>
        <s v="TAKEOUT"/>
        <s v="PETS"/>
        <s v="GIFTS"/>
        <s v="COFFEE"/>
        <s v="CANNABI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6:E64" sheet="CC - Feb 24"/>
  </cacheSource>
  <cacheFields>
    <cacheField name="ITEM" numFmtId="0">
      <sharedItems containsBlank="1">
        <s v="FORKED RIVER BREWING C LONDON"/>
        <s v="APPLE.COM/BILL TORONTO"/>
        <s v="PET VALU #2027 LONDON"/>
        <s v="FIDO MOBILE ******6643 888-481-3436"/>
        <s v="VIA RAIL/W3V0QS MONTREAL"/>
        <s v="UBER TRIP HTTPS://HELP.UB"/>
        <s v="WW CANADA LTD 866-323-4411"/>
        <s v="FIDO HOME ******5135 888-481-3436"/>
        <s v="PETRO CANADA01327 LONDON"/>
        <s v="THE HOME DEPOT #7033 LONDON"/>
        <s v="PETSMART BURLINGTON"/>
        <s v="LOVELY WEDDINGS AND EVE KITCHENER"/>
        <s v="SP DESIGNATEDDRINKS LONDON"/>
        <s v="GLOBE AND MAIL DIGITAL TORONTO"/>
        <s v="PAYMENT RECEIVED - THANK YOU"/>
        <s v="SWISS CHALET #1135 LONDON"/>
        <s v="AMAZON CHANNELS AMAZON.CA"/>
        <s v="METRO 150 LONDON"/>
        <s v="CDNCANCERSOC-DR CDNCANC TORONTO"/>
        <s v="PETSMART INC. 2433 LONDON"/>
        <s v="MISSISSAUGA-OAKVILLE VE OAKVILLE"/>
        <s v="SP LAKE OF BAYS BREW BAYSVILLE"/>
        <s v="EASTOWN BARBERSHOP LONDON"/>
        <s v="PETSMART #3042 LONDON"/>
        <s v="STARBUCKS LONDON"/>
        <s v="AMAZON.CA PRIME MEMBER AMAZON.CA/PRI"/>
        <s v="PIZZERIA MADRE 21007365 LONDON"/>
        <s v="UNITED AIRLINES HOUSTON"/>
        <s v="1835-TOR RELAY PIER F MISSISSAUGA"/>
        <s v="IAHB BEER GARDEN 00-080 HOUSTON"/>
        <s v="CANADAHELPS *DONATION 877-755-1595"/>
        <s v="AIRCANADA WINNIPEG"/>
        <s v="HOUSTONST2573 2573 HOUSTON"/>
        <s v="REMARKABLE OSLO"/>
        <s v="SHELBY'S LONDON"/>
        <s v="UBER EATS HTTPS://HELP.UB"/>
        <s v="PETRO CANADA33485 LONDON"/>
        <s v="SP VERMONTS ORIGINAL B HINESBURG"/>
        <s v="SPOTIFY STOCKHOLM"/>
        <m/>
      </sharedItems>
    </cacheField>
    <cacheField name=" DATE " numFmtId="168">
      <sharedItems containsDate="1" containsString="0" containsBlank="1">
        <d v="2023-06-09T00:00:00Z"/>
        <d v="2024-01-23T00:00:00Z"/>
        <d v="2024-01-24T00:00:00Z"/>
        <d v="2024-01-25T00:00:00Z"/>
        <d v="2024-01-26T00:00:00Z"/>
        <d v="2024-01-27T00:00:00Z"/>
        <d v="2024-01-28T00:00:00Z"/>
        <d v="2024-01-29T00:00:00Z"/>
        <d v="2024-01-30T00:00:00Z"/>
        <d v="2024-01-31T00:00:00Z"/>
        <d v="2024-02-07T00:00:00Z"/>
        <d v="2024-02-08T00:00:00Z"/>
        <d v="2024-02-09T00:00:00Z"/>
        <d v="2024-02-10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2T00:00:00Z"/>
        <d v="2024-02-23T00:00:00Z"/>
        <d v="2024-02-24T00:00:00Z"/>
        <m/>
      </sharedItems>
    </cacheField>
    <cacheField name=" CHARGE " numFmtId="164">
      <sharedItems containsString="0" containsBlank="1" containsNumber="1">
        <n v="24.0"/>
        <n v="7.9"/>
        <n v="255.81"/>
        <n v="134.48"/>
        <n v="97.18"/>
        <n v="6.12"/>
        <n v="13.56"/>
        <n v="103.96"/>
        <n v="89.04"/>
        <n v="500.0"/>
        <n v="-331.13"/>
        <n v="193.8"/>
        <n v="1000.0"/>
        <n v="84.75"/>
        <n v="8.99"/>
        <n v="-4198.26"/>
        <n v="6.2"/>
        <n v="5.64"/>
        <n v="37.04"/>
        <n v="10.16"/>
        <n v="87.43"/>
        <n v="50.0"/>
        <n v="160.67"/>
        <n v="2300.0"/>
        <n v="264.25"/>
        <n v="144.0"/>
        <n v="4.51"/>
        <n v="52.4"/>
        <n v="32.72"/>
        <n v="4.15"/>
        <n v="54.19"/>
        <n v="11.29"/>
        <n v="81.36"/>
        <n v="65.09"/>
        <n v="73.77"/>
        <n v="22.59"/>
        <n v="19.31"/>
        <n v="200.0"/>
        <n v="39.85"/>
        <n v="24.89"/>
        <n v="7.48"/>
        <n v="4.99"/>
        <n v="46.09"/>
        <n v="66.64"/>
        <n v="14.68"/>
        <n v="3.49"/>
        <n v="68.93"/>
        <n v="24.99"/>
        <n v="16.94"/>
        <m/>
      </sharedItems>
    </cacheField>
    <cacheField name="CATEGORY" numFmtId="0">
      <sharedItems>
        <s v="ALCOHOL"/>
        <s v="TECHNOLOGY"/>
        <s v="PETS"/>
        <s v="MOBILE"/>
        <s v="TRANSPORTATION"/>
        <s v="HEALTH"/>
        <s v="INTERNET"/>
        <s v="GAS"/>
        <s v="WEDDING"/>
        <s v="NONALC"/>
        <s v="NEWSPAPER"/>
        <s v="PAYMENT"/>
        <s v="TAKEOUT"/>
        <s v="SUBSCRIPTIONS"/>
        <s v="GROCERIES"/>
        <s v="CHARITY"/>
        <s v="COFFEE"/>
        <s v="HOUSEHOLD"/>
        <s v="FLIGHTS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6:E71" sheet="CC - Mar 24"/>
  </cacheSource>
  <cacheFields>
    <cacheField name="ITEM" numFmtId="0">
      <sharedItems containsBlank="1">
        <s v="FIDO MOBILE ******6643 888-481-3436"/>
        <s v="WW CANADA LTD 866-323-4411"/>
        <s v="AMAZON CHANNELS AMAZON.CA"/>
        <s v="FIDO HOME ******5135 888-481-3436"/>
        <s v="GLOBE AND MAIL DIGITAL TORONTO"/>
        <s v="PAYMENT RECEIVED - THANK YOU"/>
        <s v="DOMINOS PIZZA #10527 LONDON"/>
        <s v="CINEPLEX ENTERTAINME 416-323-6600"/>
        <s v="SHELBY'S LONDON"/>
        <s v="CINEPLEX #7112 QP LONDON"/>
        <s v="VIA RAIL/A51TAT MONTREAL"/>
        <s v="CDNCANCERSOC-DR CDNCANC TORONTO"/>
        <s v="INFORMA MEMBERSHIP CHICAGO"/>
        <s v="SHELL C02231 LONDON"/>
        <s v="APPLE.COM/BILL TORONTO"/>
        <s v="AMAZON.CA PRIME MEMBER AMAZON.CA/PRI"/>
        <s v="SHOPPERS DRUG MART #997 TORONTO"/>
        <s v="CANADAHELPS *DONATION 877-755-1595"/>
        <s v="LCBO/RAO #0192 LONDON LONDON"/>
        <s v="METRO 150 LONDON"/>
        <s v="THE ECONOMIST The Econo NEW YORK"/>
        <s v="REMARKABLE OSLO"/>
        <s v="SP LA MOOD COMICS &amp; LONDON"/>
        <s v="SPOTIFY STOCKHOLM"/>
        <s v="BAM*CURRY'S"/>
        <s v="WESTERN ANIMAL CLINIC"/>
        <s v="SWISS CHALET #1135E"/>
        <s v="VIA RAIL CANADA INC"/>
        <s v="WENDYS 114"/>
        <s v="PIZZA PROJEKT"/>
        <s v="FLEETWAY"/>
        <s v="DAIRY QUEEN #11990"/>
        <s v="AC BISTRO STMT CREDIT"/>
        <s v="PALASAD BILLIARDS LTD"/>
        <s v="SWISS CHALET 1950E"/>
        <s v="PAYMENT - THANK YOU"/>
        <m/>
      </sharedItems>
    </cacheField>
    <cacheField name=" DATE " numFmtId="168">
      <sharedItems containsDate="1" containsString="0" containsBlank="1">
        <d v="2024-02-25T00:00:00Z"/>
        <d v="2024-02-26T00:00:00Z"/>
        <d v="2024-02-27T00:00:00Z"/>
        <d v="2024-02-28T00:00:00Z"/>
        <d v="2024-03-01T00:00:00Z"/>
        <d v="2024-03-02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2T00:00:00Z"/>
        <d v="2024-03-23T00:00:00Z"/>
        <d v="2024-03-24T00:00:00Z"/>
        <d v="2024-03-03T00:00:00Z"/>
        <d v="2024-02-22T00:00:00Z"/>
        <m/>
      </sharedItems>
    </cacheField>
    <cacheField name=" CHARGE " numFmtId="164">
      <sharedItems containsString="0" containsBlank="1" containsNumber="1">
        <n v="139.0"/>
        <n v="13.56"/>
        <n v="7.9"/>
        <n v="103.96"/>
        <n v="8.99"/>
        <n v="-6214.51"/>
        <n v="5.64"/>
        <n v="23.05"/>
        <n v="33.26"/>
        <n v="45.12"/>
        <n v="94.6"/>
        <n v="10.17"/>
        <n v="118.65"/>
        <n v="10.16"/>
        <n v="50.0"/>
        <n v="112.17"/>
        <n v="57.48"/>
        <n v="4.51"/>
        <n v="11.29"/>
        <n v="14.22"/>
        <n v="200.0"/>
        <n v="76.4"/>
        <n v="60.53"/>
        <n v="78.54"/>
        <n v="-110.04"/>
        <n v="41.25"/>
        <n v="4.99"/>
        <n v="20.0"/>
        <n v="14.68"/>
        <n v="113.21"/>
        <n v="83.11"/>
        <n v="16.94"/>
        <n v="97.1"/>
        <n v="167.62"/>
        <n v="46.79"/>
        <n v="11.0"/>
        <n v="3.5"/>
        <n v="6.08"/>
        <n v="18.98"/>
        <n v="116.39"/>
        <n v="15.57"/>
        <n v="-12.94"/>
        <n v="50.36"/>
        <n v="47.33"/>
        <n v="-1890.06"/>
        <n v="256.76"/>
        <m/>
      </sharedItems>
    </cacheField>
    <cacheField name="CATEGORY" numFmtId="0">
      <sharedItems>
        <s v="MOBILE"/>
        <s v="HEALTH"/>
        <s v="SUBSCRIPTIONS"/>
        <s v="INTERNET"/>
        <s v="NEWSPAPER"/>
        <s v="PAYMENT"/>
        <s v="TAKEOUT"/>
        <s v="ENTERTAINMENT"/>
        <s v="ALCOHOL"/>
        <s v="TRANSPORTATION"/>
        <s v="CHARITY"/>
        <s v="TECHNOLOGY"/>
        <s v="GAS"/>
        <s v="GROCERIES"/>
        <s v="PETS"/>
        <s v="HOUSEHOLD"/>
        <s v="PARAMOUNT"/>
        <s v="GIFTS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6:E73" sheet="CC - Apr 24"/>
  </cacheSource>
  <cacheFields>
    <cacheField name="ITEM" numFmtId="0">
      <sharedItems>
        <s v="FRESHCO #9863 LONDON LONDON"/>
        <s v="L A MOOD LONDON"/>
        <s v="FIDO MOBILE ******6643 888-481-3436"/>
        <s v="AMAZON.CA*RA70B9G22 AMAZON.CA"/>
        <s v="GLOBE AND MAIL DIGITAL TORONTO"/>
        <s v="METRO 150 LONDON"/>
        <s v="WW CANADA LTD 866-323-4411"/>
        <s v="AMAZON CHANNELS AMAZON.CA"/>
        <s v="AMZN MKTP CA*RH7IT9WD1 WWW.AMAZON.CA"/>
        <s v="BUDWEISER GARDENS 519-432-8894"/>
        <s v="FIDO HOME ******5135 888-481-3436"/>
        <s v="PAYMENT RECEIVED - THANK YOU"/>
        <s v="AMAZON.CA*RA0OA4S02 AMAZON.CA"/>
        <s v="LCBO/RAO #0192 LONDON LONDON"/>
        <s v="SHELBY'S LONDON"/>
        <s v="MR. LUBE LONDON"/>
        <s v="ONROUTE WOODSTOCK W #11 WOODSTOCK"/>
        <s v="LCBO/RAO #0575 LONDON LONDON"/>
        <s v="ROGERS ******3772 888-764-3771"/>
        <s v="MR. LUBE"/>
        <s v="SOBEYS #4748 LONDON LONDON"/>
        <s v="SP PARTAKE BREWING CALGARY"/>
        <s v="DOGTOPIA OF LONDON 00-0 LONDON"/>
        <s v="CDNCANCERSOC-DR CDNCANC TORONTO"/>
        <s v="PEARSON PARKING RESERVE TORONTO"/>
        <s v="APPLE.COM/BILL TORONTO"/>
        <s v="UBER EATS HTTPS://HELP.UB"/>
        <s v="AMAZON.CA PRIME MEMBER AMAZON.CA/PRI"/>
        <s v="WESTJET AIRLINES 344000 CANCUN"/>
        <s v="A&amp;W #4943 MISSISSAUGA MISSISSAUGA"/>
        <s v="CANADAHELPS *DONATION 877-755-1595"/>
        <s v="REMARKABLE OSLO"/>
        <s v="SHOPPERS DRUG MART 732 LONDON"/>
        <s v="STARBUCKS COFFEE #51 LONDON"/>
        <s v="PETSMART INC. 2433 LONDON"/>
        <s v="CINEPLEX #7112 QP LONDON"/>
        <s v="CINEPLEX ENTERTAINME 416-323-6600"/>
        <s v="SPOTIFY STOCKHOLM"/>
        <s v="WESTERN ANIMAL CLINIC"/>
        <s v="DAIRY QUEEN #11990"/>
        <s v="MARY BROWNS 6335"/>
        <s v="AIR CANADA ON BOARD CA"/>
        <s v="MALIBU RESTAURANT"/>
        <s v="AC BISTRO STMT CREDIT"/>
        <s v="PAYMENT - THANK YOU"/>
        <s v="SQ *V FOOD SPOT"/>
        <s v="SQ *SIDETRACK: A WORTLEY"/>
        <s v="OLD SOUTH DENTISTRY"/>
      </sharedItems>
    </cacheField>
    <cacheField name=" DATE " numFmtId="168">
      <sharedItems containsSemiMixedTypes="0" containsDate="1" containsString="0">
        <d v="2024-03-23T00:00:00Z"/>
        <d v="2024-03-24T00:00:00Z"/>
        <d v="2024-03-25T00:00:00Z"/>
        <d v="2024-03-26T00:00:00Z"/>
        <d v="2024-03-27T00:00:00Z"/>
        <d v="2024-03-28T00:00:00Z"/>
        <d v="2024-03-30T00:00:00Z"/>
        <d v="2024-03-31T00:00:00Z"/>
        <d v="2024-04-01T00:00:00Z"/>
        <d v="2024-04-02T00:00:00Z"/>
        <d v="2024-04-04T00:00:00Z"/>
        <d v="2024-04-05T00:00:00Z"/>
        <d v="2024-04-07T00:00:00Z"/>
        <d v="2024-04-08T00:00:00Z"/>
        <d v="2024-04-09T00:00:00Z"/>
        <d v="2024-04-10T00:00:00Z"/>
        <d v="2024-04-11T00:00:00Z"/>
        <d v="2024-04-13T00:00:00Z"/>
        <d v="2024-04-14T00:00:00Z"/>
        <d v="2024-04-15T00:00:00Z"/>
        <d v="2024-04-16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17T00:00:00Z"/>
        <d v="2024-04-06T00:00:00Z"/>
        <d v="2024-04-03T00:00:00Z"/>
      </sharedItems>
    </cacheField>
    <cacheField name=" CHARGE " numFmtId="164">
      <sharedItems containsSemiMixedTypes="0" containsString="0" containsNumber="1">
        <n v="41.2"/>
        <n v="74.86"/>
        <n v="218.1"/>
        <n v="34.68"/>
        <n v="8.99"/>
        <n v="44.82"/>
        <n v="13.56"/>
        <n v="7.9"/>
        <n v="33.71"/>
        <n v="217.0"/>
        <n v="97.03"/>
        <n v="-1483.65"/>
        <n v="13.55"/>
        <n v="37.55"/>
        <n v="43.5"/>
        <n v="90.34"/>
        <n v="5.64"/>
        <n v="49.6"/>
        <n v="37.0"/>
        <n v="93.51"/>
        <n v="-15.0"/>
        <n v="130.43"/>
        <n v="135.57"/>
        <n v="22.6"/>
        <n v="10.16"/>
        <n v="50.0"/>
        <n v="111.87"/>
        <n v="426.12"/>
        <n v="96.73"/>
        <n v="4.51"/>
        <n v="53.96"/>
        <n v="11.29"/>
        <n v="85.84"/>
        <n v="48.43"/>
        <n v="26.17"/>
        <n v="200.0"/>
        <n v="11.3"/>
        <n v="40.67"/>
        <n v="4.99"/>
        <n v="49.7"/>
        <n v="13.41"/>
        <n v="39.54"/>
        <n v="46.09"/>
        <n v="14.68"/>
        <n v="115.26"/>
        <n v="37.44"/>
        <n v="16.94"/>
        <n v="937.06"/>
        <n v="11.84"/>
        <n v="99.54"/>
        <n v="31.95"/>
        <n v="12.5"/>
        <n v="10.95"/>
        <n v="59.35"/>
        <n v="-3.13"/>
        <n v="17.15"/>
        <n v="-824.54"/>
        <n v="41.3"/>
        <n v="22.3"/>
        <n v="53.8"/>
      </sharedItems>
    </cacheField>
    <cacheField name="CATEGORY" numFmtId="0">
      <sharedItems>
        <s v="GROCERIES"/>
        <s v="ENTERTAINMENT"/>
        <s v="MOBILE"/>
        <s v="HOUSEHOLD"/>
        <s v="NEWSPAPER"/>
        <s v="HEALTH"/>
        <s v="SUBSCRIPTIONS"/>
        <s v="TAKEOUT"/>
        <s v="INTERNET"/>
        <s v="PAYMENT"/>
        <s v="ALCOHOL"/>
        <s v="TRANSPORTATION"/>
        <s v="PETS"/>
        <s v="CHARITY"/>
        <s v="GAS"/>
        <s v="TECHNOLOGY"/>
        <s v="COFFEE"/>
        <s v="DINE IN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6:E94" sheet="CC - May 24"/>
  </cacheSource>
  <cacheFields>
    <cacheField name="ITEM" numFmtId="0">
      <sharedItems containsBlank="1">
        <s v="FIDO MOBILE ******6643 888-481-3436"/>
        <s v="PET VALU #2027 LONDON"/>
        <s v="PLAZA SUSHI OMAKASE 001 LONDON"/>
        <s v="LASIK MD LONDON LONDON LONDON"/>
        <s v="METRO 150 LONDON"/>
        <s v="WW CANADA LTD 866-323-4411"/>
        <s v="AMAZON CHANNELS AMAZON.CA"/>
        <s v="PETSMART INC. 2433 LONDON"/>
        <s v="NESPRESSO CANADA 855-325-5781"/>
        <s v="PAYMENT RECEIVED - THANK YOU"/>
        <s v="MARKET WOODSTOCK"/>
        <s v="SHELL C02231 LONDON"/>
        <s v="APPLE.COM/BILL TORONTO"/>
        <s v="ROGERS ******3772 888-764-3771"/>
        <s v="CANADIAN TIRE #058 LONDON"/>
        <s v="RED LOBSTER 8116 LONDON"/>
        <s v="SHOPPERS DRUG MART #11 LONDON"/>
        <s v="SHOPPERS DRUG MART #114 LONDON"/>
        <s v="CANADIAN TIRE #208 LONDON"/>
        <s v="LCBO/RAO #0192 LONDON LONDON"/>
        <s v="BAM*MY ROTI PLACE/MY DO ALLISTON"/>
        <s v="AMZN MKTP CA*LV58U57K3 WWW.AMAZON.CA"/>
        <s v="AMZN MKTP CA*YU1Q08IC3 WWW.AMAZON.CA"/>
        <s v="DOGTOPIA OF LONDON 00-0 LONDON"/>
        <s v="CDNCANCERSOC-DR CDNCANC TORONTO"/>
        <s v="CHARCOAL STEAKHOUSE KITCHENER"/>
        <s v="ULTRAMAR #52058 ULTRAMA LONDON"/>
        <s v="JERSEY MIKES' SUBS LONDON"/>
        <s v="AMAZON.CA PRIME MEMBER AMAZON.CA/PRI"/>
        <s v="SHELBY'S LONDON"/>
        <s v="CANADAHELPS *DONATION 877-755-1595"/>
        <s v="BP#8499543PARMA TRAVEL PARMA"/>
        <s v="DETROIT INTERNATIONAL D WARREN"/>
        <s v="MCDONALD'S F23358 00000 HARTFORD"/>
        <s v="TIM HORTONS #3870 WEST LORNE"/>
        <s v="TST* BEYOND JUICE - LIV LIVONIA"/>
        <s v="TST* CELESTE &amp; DISCO 30 CHICAGO"/>
        <s v="BLUE WATER BRIDGE TOLL PORT HURON"/>
        <s v="GLOBE AND MAIL DIGITAL TORONTO"/>
        <s v="DDBURGERBURGER DOWNTOWN TORONT"/>
        <s v="IVANOPOBLANO London"/>
        <s v="SPOTIFY STOCKHOLM"/>
        <m/>
      </sharedItems>
    </cacheField>
    <cacheField name=" DATE " numFmtId="168">
      <sharedItems containsDate="1" containsString="0" containsBlank="1"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5T00:00:00Z"/>
        <d v="2024-05-16T00:00:00Z"/>
        <d v="2024-05-17T00:00:00Z"/>
        <d v="2024-05-19T00:00:00Z"/>
        <d v="2024-05-20T00:00:00Z"/>
        <d v="2024-05-21T00:00:00Z"/>
        <d v="2024-05-22T00:00:00Z"/>
        <d v="2024-05-23T00:00:00Z"/>
        <d v="2024-05-24T00:00:00Z"/>
        <m/>
      </sharedItems>
    </cacheField>
    <cacheField name=" CHARGE " numFmtId="164">
      <sharedItems containsString="0" containsBlank="1" containsNumber="1">
        <n v="169.17"/>
        <n v="101.69"/>
        <n v="59.78"/>
        <n v="4270.0"/>
        <n v="46.4"/>
        <n v="13.56"/>
        <n v="7.9"/>
        <n v="111.76"/>
        <n v="37.15"/>
        <n v="153.0"/>
        <n v="-3290.12"/>
        <n v="5.64"/>
        <n v="15.45"/>
        <n v="67.39"/>
        <n v="18.07"/>
        <n v="90.39"/>
        <n v="118.05"/>
        <n v="186.04"/>
        <n v="15.61"/>
        <n v="2.29"/>
        <n v="35.56"/>
        <n v="20.3"/>
        <n v="39.44"/>
        <n v="41.17"/>
        <n v="10.16"/>
        <n v="64.39"/>
        <n v="22.59"/>
        <n v="111.87"/>
        <n v="20.0"/>
        <n v="50.0"/>
        <n v="57.6"/>
        <n v="4.51"/>
        <n v="36.85"/>
        <n v="219.13"/>
        <n v="66.04"/>
        <n v="192.96"/>
        <n v="30.68"/>
        <n v="11.29"/>
        <n v="145.77"/>
        <n v="49.77"/>
        <n v="200.0"/>
        <n v="12.42"/>
        <n v="129.91"/>
        <n v="5.58"/>
        <n v="11.18"/>
        <n v="13.62"/>
        <n v="6.76"/>
        <n v="18.11"/>
        <n v="55.27"/>
        <n v="4.2"/>
        <n v="8.99"/>
        <n v="16.94"/>
        <n v="14.68"/>
        <n v="46.0"/>
        <n v="112.58"/>
        <m/>
      </sharedItems>
    </cacheField>
    <cacheField name="CATEGORY" numFmtId="0">
      <sharedItems containsBlank="1">
        <s v="MOBILE"/>
        <s v="PETS"/>
        <s v="TAKEOUT"/>
        <s v="HEALTH"/>
        <s v="GROCERIES"/>
        <s v="PRIME VIDEO"/>
        <s v="COFFEE"/>
        <s v="PAYMENT"/>
        <s v="GAS"/>
        <s v="TECHNOLOGY"/>
        <s v="INTERNET"/>
        <s v="HOUSEHOLD"/>
        <s v="DINE IN"/>
        <s v="ALCOHOL"/>
        <s v="CHARITY"/>
        <s v="OTHER/NONE"/>
        <s v="NEWSPAPER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6:E92" sheet="CC - Jun 24"/>
  </cacheSource>
  <cacheFields>
    <cacheField name="ITEM" numFmtId="0">
      <sharedItems containsBlank="1">
        <s v="DISNEY PLUS ADY"/>
        <s v="SPOTIFY                 STOCKHOLM"/>
        <s v="AMZN MKTP CA*RC2S09NK0  WWW.AMAZON.CA"/>
        <s v="APPLE.COM/BILL          TORONTO"/>
        <s v="PET VALU #2027          LONDON"/>
        <s v="DISNEY PLUS RECURRING   BURBANK"/>
        <s v="SHOPPERS DRUG MART #098 TORONTO"/>
        <s v="VIA RAIL CANADA INC     MONTREAL"/>
        <s v="CINEPLEX #7112     QP   LONDON"/>
        <s v="CINEPLEX ENTERTAINME    416-323-6600"/>
        <s v="GLOBAL-E* EXPRESSO DIS  VANCOUVER"/>
        <s v="GLOBE AND MAIL DIGITAL  TORONTO"/>
        <s v="SP LAKE OF BAYS BREW    BAYSVILLE"/>
        <s v="DOGTOPIA OF LONDON 00-0 LONDON"/>
        <s v="AMAZON CHANNELS         AMAZON.CA"/>
        <s v="NEW BALANCE CANADA INC. MISSISSAUGA"/>
        <s v="PETRO CANADA33410       LONDON"/>
        <s v="Pur &amp; Simple - London S LONDON"/>
        <s v="CANADAHELPS *DONATION   877-755-1595"/>
        <s v="LCBO/RAO #0192 LONDON   LONDON"/>
        <s v="STORM STAYED BREWING CO LONDON"/>
        <s v="AMAZON.CA PRIME MEMBER  AMAZON.CA/PRI"/>
        <s v="DELTA AIR LINES         ATLANTA"/>
        <s v="SHELBY'S                LONDON"/>
        <s v="TST-MERLA-MAE ICE CREA  LONDON"/>
        <s v="CRAFT FARMACY           LONDON"/>
        <s v="CDNCANCERSOC-DR CDNCANC TORONTO"/>
        <s v="THE ECONOMIST The Econo NEW YORK"/>
        <s v="MARK'S STORE #163       LONDON"/>
        <s v="NESTLÉ CANADA INC       TORONTO"/>
        <s v="PETSMART INC. 0924      LONDON"/>
        <s v="SHOPPERS DRUG MART #076 LONDON"/>
        <s v="VIA RAIL/1NGH82         MONTREAL"/>
        <s v="YASMINE'S RESTAURANT 00 LONDON"/>
        <s v="PLAZA SUSHI OMAKASE 001 LONDON"/>
        <s v="EASTOWN BARBERSHOP      LONDON"/>
        <s v="METRO  150              LONDON"/>
        <s v="VIA RAIL/R31F4E         MONTREAL"/>
        <s v="MEJURI.COM              DOWNTOWN TORONT"/>
        <s v="GIANT TIGER #135 LONDON LONDON"/>
        <s v="ROGERS ******3772       888-764-3771"/>
        <s v="PAYMENT RECEIVED - THANK YOU"/>
        <s v="WENDYS 114              LONDON"/>
        <s v="AMZN MKTP CA*MA7Y34DV3  WWW.AMAZON.CA"/>
        <s v="FRESHCO #9863 LONDON    LONDON"/>
        <s v="MONTANAS COOKHOUSE 3    LONDON"/>
        <s v="MR. LUBE                LONDON"/>
        <s v="WW CANADA LTD           866-323-4411"/>
        <s v="FIDO MOBILE ******6643  888-481-3436"/>
        <s v="ADAMS ICE CREAM KINGDOM"/>
        <s v="MCDONALDS #1501"/>
        <s v="FORKED RIVER BREWING C"/>
        <s v="WESTERN ANIMAL CLINIC"/>
        <s v="WESTERN MEATS + DELI"/>
        <s v="PLAYER'S CARDS"/>
        <s v="AC BISTRO STMT CREDIT"/>
        <s v="LOBLAWS"/>
        <s v="SOLO'S PIZZA"/>
        <s v="ARCHIES SEAFOOD"/>
        <s v="Merla Mae Ice Cream"/>
        <m/>
      </sharedItems>
    </cacheField>
    <cacheField name=" DATE " numFmtId="167">
      <sharedItems containsDate="1" containsString="0" containsBlank="1">
        <d v="2024-06-24T00:00:00Z"/>
        <d v="2024-06-23T00:00:00Z"/>
        <d v="2024-06-22T00:00:00Z"/>
        <d v="2024-06-21T00:00:00Z"/>
        <d v="2024-06-20T00:00:00Z"/>
        <d v="2024-06-19T00:00:00Z"/>
        <d v="2024-06-18T00:00:00Z"/>
        <d v="2024-06-17T00:00:00Z"/>
        <d v="2024-06-16T00:00:00Z"/>
        <d v="2024-06-15T00:00:00Z"/>
        <d v="2024-06-14T00:00:00Z"/>
        <d v="2024-06-13T00:00:00Z"/>
        <d v="2024-06-12T00:00:00Z"/>
        <d v="2024-06-10T00:00:00Z"/>
        <d v="2024-06-09T00:00:00Z"/>
        <d v="2024-06-08T00:00:00Z"/>
        <d v="2024-06-07T00:00:00Z"/>
        <d v="2024-06-05T00:00:00Z"/>
        <d v="2024-06-04T00:00:00Z"/>
        <d v="2024-06-03T00:00:00Z"/>
        <d v="2024-06-01T00:00:00Z"/>
        <d v="2024-05-31T00:00:00Z"/>
        <d v="2024-05-30T00:00:00Z"/>
        <d v="2024-05-28T00:00:00Z"/>
        <d v="2024-05-27T00:00:00Z"/>
        <d v="2024-05-26T00:00:00Z"/>
        <d v="2024-05-25T00:00:00Z"/>
        <d v="2024-05-23T00:00:00Z"/>
        <m/>
      </sharedItems>
    </cacheField>
    <cacheField name=" CHARGE " numFmtId="165">
      <sharedItems containsString="0" containsBlank="1" containsNumber="1">
        <n v="-60.0"/>
        <n v="16.94"/>
        <n v="17.46"/>
        <n v="14.68"/>
        <n v="151.28"/>
        <n v="169.48"/>
        <n v="16.49"/>
        <n v="27.5"/>
        <n v="132.91"/>
        <n v="25.18"/>
        <n v="913.04"/>
        <n v="8.99"/>
        <n v="124.0"/>
        <n v="145.77"/>
        <n v="12.42"/>
        <n v="203.39"/>
        <n v="64.12"/>
        <n v="141.36"/>
        <n v="4.51"/>
        <n v="200.0"/>
        <n v="14.6"/>
        <n v="83.0"/>
        <n v="11.29"/>
        <n v="4080.97"/>
        <n v="46.09"/>
        <n v="29.26"/>
        <n v="134.24"/>
        <n v="50.0"/>
        <n v="93.79"/>
        <n v="10.16"/>
        <n v="29.0"/>
        <n v="130.0"/>
        <n v="37.13"/>
        <n v="53.63"/>
        <n v="187.58"/>
        <n v="79.1"/>
        <n v="101.69"/>
        <n v="59.78"/>
        <n v="45.94"/>
        <n v="62.69"/>
        <n v="110.74"/>
        <n v="370.64"/>
        <n v="12.15"/>
        <n v="90.39"/>
        <n v="5.64"/>
        <n v="27.9"/>
        <n v="-7685.02"/>
        <n v="24.85"/>
        <n v="31.94"/>
        <n v="38.41"/>
        <n v="93.47"/>
        <n v="7.85"/>
        <n v="89.58"/>
        <n v="7.9"/>
        <n v="60.71"/>
        <n v="192.05"/>
        <n v="13.56"/>
        <n v="229.4"/>
        <n v="45.75"/>
        <n v="-145.77"/>
        <n v="-1709.42"/>
        <n v="11.28"/>
        <n v="9.04"/>
        <n v="27.0"/>
        <n v="1091.39"/>
        <n v="2301.44"/>
        <n v="22.37"/>
        <n v="-5.86"/>
        <n v="50.25"/>
        <n v="25.42"/>
        <n v="36.25"/>
        <m/>
      </sharedItems>
    </cacheField>
    <cacheField name="CATEGORY" numFmtId="0">
      <sharedItems>
        <s v="PAYMENT"/>
        <s v="TECHNOLOGY"/>
        <s v="HOUSEHOLD"/>
        <s v="PETS"/>
        <s v="Disney+"/>
        <s v="HEALTH"/>
        <s v="TRANSPORTATION"/>
        <s v="DINE IN"/>
        <s v="ENTERTAINMENT"/>
        <s v="NEWSPAPER"/>
        <s v="OTHER/NONE"/>
        <s v="PRIME VIDEO"/>
        <s v="CLOTHES"/>
        <s v="GAS"/>
        <s v="CHARITY"/>
        <s v="ALCOHOL"/>
        <s v="TAKEOUT"/>
        <s v="COFFEE"/>
        <s v="GROCERIES"/>
        <s v="GIFTS"/>
        <s v="INTERNET"/>
        <s v="MOBILE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6:E69" sheet="CC - Jul 24"/>
  </cacheSource>
  <cacheFields>
    <cacheField name="ITEM" numFmtId="0">
      <sharedItems>
        <s v="SPOTIFY                 STOCKHOLM"/>
        <s v="APPLE.COM/BILL          TORONTO"/>
        <s v="DOGTOPIA OF LONDON 00-0 LONDON"/>
        <s v="COUSIN VINNYS PIZZA     LONDON"/>
        <s v="AMZN MKTP CA*RJ9L04E10  WWW.AMAZON.CA"/>
        <s v="METRO  150              LONDON"/>
        <s v="AMZN MKTP CA*RS01P5Y62  WWW.AMAZON.CA"/>
        <s v="AMZN MKTP CA*RS43X3Y32  WWW.AMAZON.CA"/>
        <s v="AMZN MKTP CA*RS5756YP2  WWW.AMAZON.CA"/>
        <s v="PIONEER # 371 PIONEER # LONDON"/>
        <s v="TIM HORTONS #5911       ARTHUR"/>
        <s v="AIRCANADA               WINNIPEG"/>
        <s v="AMAZON CHANNELS         AMAZON.CA"/>
        <s v="BLUE MTN F&amp;B LODGES 162 Blue Mountains"/>
        <s v="GLOBE AND MAIL DIGITAL  TORONTO"/>
        <s v="UBER EATS               HTTPS://HELP.UB"/>
        <s v="KNIX WEAR INC           TORONTO"/>
        <s v="AMAZON.CA PRIME MEMBER  AMAZON.CA/PRI"/>
        <s v="FAMOUS PLAYER #7422QP   LONDON"/>
        <s v="CINEPLEX ENTERTAINME    416-323-6600"/>
        <s v="SHELBY'S                LONDON"/>
        <s v="WENDYS 114              LONDON"/>
        <s v="CDNCANCERSOC-DR CDNCANC TORONTO"/>
        <s v="HUNTR.CO                SEATTLE"/>
        <s v="CANADIAN TIRE #130      LONDON"/>
        <s v="PETSMART INC. 1324      LONDON"/>
        <s v="Pur &amp; Simple - London S LONDON"/>
        <s v="SHELL C02231            LONDON"/>
        <s v="PLAZA SUSHI OMAKASE 001 LONDON"/>
        <s v="PIZZERIA MADRE 21007365 LONDON"/>
        <s v="MCDONALD'S #1501        LONDON"/>
        <s v="MCDONALD'S #4040        LONDON"/>
        <s v="ROGERS ******3772       888-764-3771"/>
        <s v="AMZN MKTP CA*R73SY8F10  WWW.AMAZON.CA"/>
        <s v="AMZN MKTP CA*RC1CI5Q61  WWW.AMAZON.CA"/>
        <s v="FOREST OF FLOWERS LONDO LONDON"/>
        <s v="MR. PUFFS WHITE OAKS 00 LONDON"/>
        <s v="PETRO CANADA33485       LONDON"/>
        <s v="SHOPPERS DRUG MART #114 LONDON"/>
        <s v="SOLO ON MAIN 001        PORT STANLEY"/>
        <s v="SP VAKA CHOCOLATE       LONDON"/>
        <s v="FARM BOY #91 LONDON     LONDON"/>
        <s v="FIDO MOBILE ******6643  888-481-3436"/>
        <s v="PAYMENT RECEIVED - THANK YOU"/>
        <s v="MJ (LCC) LP 211019072   LONDON"/>
        <s v="BEERTOWN LONDON"/>
        <s v="PET VALU"/>
      </sharedItems>
    </cacheField>
    <cacheField name=" DATE " numFmtId="167">
      <sharedItems containsSemiMixedTypes="0" containsDate="1" containsString="0">
        <d v="2024-07-24T00:00:00Z"/>
        <d v="2024-07-22T00:00:00Z"/>
        <d v="2024-07-21T00:00:00Z"/>
        <d v="2024-07-20T00:00:00Z"/>
        <d v="2024-07-18T00:00:00Z"/>
        <d v="2024-07-17T00:00:00Z"/>
        <d v="2024-07-16T00:00:00Z"/>
        <d v="2024-07-15T00:00:00Z"/>
        <d v="2024-07-14T00:00:00Z"/>
        <d v="2024-07-13T00:00:00Z"/>
        <d v="2024-07-12T00:00:00Z"/>
        <d v="2024-07-10T00:00:00Z"/>
        <d v="2024-07-09T00:00:00Z"/>
        <d v="2024-07-08T00:00:00Z"/>
        <d v="2024-07-07T00:00:00Z"/>
        <d v="2024-07-06T00:00:00Z"/>
        <d v="2024-07-05T00:00:00Z"/>
        <d v="2024-07-02T00:00:00Z"/>
        <d v="2024-07-01T00:00:00Z"/>
        <d v="2024-06-30T00:00:00Z"/>
        <d v="2024-06-29T00:00:00Z"/>
        <d v="2024-06-28T00:00:00Z"/>
        <d v="2024-06-27T00:00:00Z"/>
        <d v="2024-06-26T00:00:00Z"/>
        <d v="2024-06-25T00:00:00Z"/>
        <d v="2024-06-24T00:00:00Z"/>
      </sharedItems>
    </cacheField>
    <cacheField name=" CHARGE " numFmtId="165">
      <sharedItems containsSemiMixedTypes="0" containsString="0" containsNumber="1">
        <n v="16.94"/>
        <n v="14.68"/>
        <n v="18.07"/>
        <n v="3.39"/>
        <n v="145.77"/>
        <n v="22.99"/>
        <n v="19.19"/>
        <n v="21.46"/>
        <n v="15.81"/>
        <n v="25.59"/>
        <n v="29.38"/>
        <n v="26.97"/>
        <n v="6.78"/>
        <n v="9.3"/>
        <n v="100.14"/>
        <n v="12.42"/>
        <n v="23.83"/>
        <n v="8.99"/>
        <n v="4.51"/>
        <n v="47.22"/>
        <n v="238.45"/>
        <n v="11.29"/>
        <n v="38.21"/>
        <n v="45.47"/>
        <n v="18.8"/>
        <n v="55.29"/>
        <n v="10.14"/>
        <n v="50.0"/>
        <n v="55.98"/>
        <n v="10.16"/>
        <n v="350.25"/>
        <n v="197.74"/>
        <n v="78.31"/>
        <n v="67.08"/>
        <n v="59.78"/>
        <n v="170.86"/>
        <n v="12.41"/>
        <n v="18.61"/>
        <n v="90.39"/>
        <n v="5.64"/>
        <n v="24.85"/>
        <n v="36.15"/>
        <n v="51.38"/>
        <n v="67.78"/>
        <n v="10.29"/>
        <n v="76.54"/>
        <n v="51.28"/>
        <n v="202.73"/>
        <n v="7.9"/>
        <n v="22.04"/>
        <n v="97.49"/>
        <n v="63.45"/>
        <n v="195.5"/>
        <n v="-13066.61"/>
        <n v="10.0"/>
        <n v="116.25"/>
        <n v="120.64"/>
      </sharedItems>
    </cacheField>
    <cacheField name="CATEGORY" numFmtId="0">
      <sharedItems>
        <s v="TECHNOLOGY"/>
        <s v="PETS"/>
        <s v="TAKEOUT"/>
        <s v="HOUSEHOLD"/>
        <s v="GROCERIES"/>
        <s v="GAS"/>
        <s v="TRANSPORTATION"/>
        <s v="PRIME VIDEO"/>
        <s v="NEWSPAPER"/>
        <s v="CLOTHES"/>
        <s v="ENTERTAINMENT"/>
        <s v="CHARITY"/>
        <s v="DINE IN"/>
        <s v="INTERNET"/>
        <s v="GIFTS"/>
        <s v="HEALTH"/>
        <s v="MOBILE"/>
        <s v="PAYMENT"/>
        <s v="PARKING"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6:E82" sheet="CC - Aug 23"/>
  </cacheSource>
  <cacheFields>
    <cacheField name="ITEM" numFmtId="0">
      <sharedItems>
        <s v="MEMBERSHIP FEE"/>
        <s v="SPOTIFY                 STOCKHOLM"/>
        <s v="LONDON BREWING          London"/>
        <s v="APPLE.COM/BILL          TORONTO"/>
        <s v="LCBO/RAO #0192 LONDON   LONDON"/>
        <s v="DOGTOPIA OF LONDON 00-0 LONDON"/>
        <s v="METRO  150              LONDON"/>
        <s v="PLAYSTATION NETWORK     877-971-7669"/>
        <s v="SHELBY'S                LONDON"/>
        <s v="AIRBNB * HMCXSYYFDD     LONDON"/>
        <s v="CANADIAN TIRE #058      LONDON"/>
        <s v="DOLLARAMA # 608         LONDON"/>
        <s v="REDBERRY SHORE RESTAURA MISSISSAUGA"/>
        <s v="THE HOME DEPOT #7033    LONDON"/>
        <s v="WINNERS 413             LONDON"/>
        <s v="AMAZON CHANNELS         AMAZON.CA"/>
        <s v="AMAZON.CA PRIME MEMBER  AMAZON.CA/PRI"/>
        <s v="GLOBE AND MAIL DIGITAL  TORONTO"/>
        <s v="FRESHCO #9863 LONDON    LONDON"/>
        <s v="SHELL C02231            LONDON"/>
        <s v="CHURCH'S TEXAS CHICKEN  LONDON"/>
        <s v="CDNCANCERSOC-DR CDNCANC TORONTO"/>
        <s v="HUNTR.CO                SEATTLE"/>
        <s v="LINKEDIN CORPORATION    MOUNTAIN VIEW"/>
        <s v="AIRBNB * HMBW5YSC8Z     LONDON"/>
        <s v="PET VALU #2027          LONDON"/>
        <s v="AIRBNB * HMFAM9TBZ5     LONDON"/>
        <s v="AMZN MKTP CA*RM7ZA5CS2  WWW.AMAZON.CA"/>
        <s v="UBER EATS               HTTPS://HELP.UB"/>
        <s v="STARBUCKS COFFEE #51    LONDON"/>
        <s v="U-HAUL SAK'S MARKET P   LONDON"/>
        <s v="ULTRAMAR #52058 ULTRAMA LONDON"/>
        <s v="BARBURRITO FRESH MEXICA LONDON"/>
        <s v="KNIX WEAR INC"/>
        <s v="PETSMART INC. 1324      LONDON"/>
        <s v="ROGERS ******3772       888-764-3771"/>
        <s v="RED LOBSTER 8116        LONDON"/>
        <s v="CPC SCP/0009925491523   OTTAWA"/>
        <s v="SP ECOBEE-CA            TORONTO"/>
        <s v="PAYMENT RECEIVED - THANK YOU"/>
        <s v="PETSMART INC. 2433      LONDON"/>
        <s v="PIONEER STN #131 PIONEE LONDON"/>
        <s v="HONK - CAN              866-675-7337"/>
        <s v="FIDO MOBILE ******6643  888-481-3436"/>
        <s v="WESTJET                 CALGARY"/>
      </sharedItems>
    </cacheField>
    <cacheField name=" DATE " numFmtId="167">
      <sharedItems containsSemiMixedTypes="0" containsDate="1" containsString="0">
        <d v="2024-08-24T00:00:00Z"/>
        <d v="2024-08-23T00:00:00Z"/>
        <d v="2024-08-22T00:00:00Z"/>
        <d v="2024-08-21T00:00:00Z"/>
        <d v="2024-08-20T00:00:00Z"/>
        <d v="2024-08-19T00:00:00Z"/>
        <d v="2024-08-17T00:00:00Z"/>
        <d v="2024-08-16T00:00:00Z"/>
        <d v="2024-08-15T00:00:00Z"/>
        <d v="2024-08-13T00:00:00Z"/>
        <d v="2024-08-11T00:00:00Z"/>
        <d v="2024-08-10T00:00:00Z"/>
        <d v="2024-08-09T00:00:00Z"/>
        <d v="2024-08-08T00:00:00Z"/>
        <d v="2024-08-07T00:00:00Z"/>
        <d v="2024-08-06T00:00:00Z"/>
        <d v="2024-08-05T00:00:00Z"/>
        <d v="2024-08-03T00:00:00Z"/>
        <d v="2024-08-02T00:00:00Z"/>
        <d v="2024-08-01T00:00:00Z"/>
        <d v="2024-07-31T00:00:00Z"/>
        <d v="2024-07-30T00:00:00Z"/>
        <d v="2024-07-29T00:00:00Z"/>
        <d v="2024-07-28T00:00:00Z"/>
        <d v="2024-07-27T00:00:00Z"/>
        <d v="2024-07-26T00:00:00Z"/>
        <d v="2024-07-25T00:00:00Z"/>
        <d v="2024-07-22T00:00:00Z"/>
      </sharedItems>
    </cacheField>
    <cacheField name=" CHARGE " numFmtId="164">
      <sharedItems containsSemiMixedTypes="0" containsString="0" containsNumber="1">
        <n v="599.0"/>
        <n v="16.94"/>
        <n v="76.47"/>
        <n v="14.68"/>
        <n v="18.07"/>
        <n v="46.95"/>
        <n v="79.1"/>
        <n v="72.77"/>
        <n v="18.35"/>
        <n v="45.4"/>
        <n v="2081.53"/>
        <n v="145.77"/>
        <n v="-33.89"/>
        <n v="33.89"/>
        <n v="89.55"/>
        <n v="12.99"/>
        <n v="25.79"/>
        <n v="65.9"/>
        <n v="83.88"/>
        <n v="12.42"/>
        <n v="4.51"/>
        <n v="11.29"/>
        <n v="36.11"/>
        <n v="159.05"/>
        <n v="62.65"/>
        <n v="6.77"/>
        <n v="7.33"/>
        <n v="30.82"/>
        <n v="7.0"/>
        <n v="50.0"/>
        <n v="22.6"/>
        <n v="56.49"/>
        <n v="20.17"/>
        <n v="-2102.93"/>
        <n v="10.16"/>
        <n v="101.69"/>
        <n v="2102.93"/>
        <n v="1342.05"/>
        <n v="64.39"/>
        <n v="62.28"/>
        <n v="5.65"/>
        <n v="14.77"/>
        <n v="17.41"/>
        <n v="35.01"/>
        <n v="35.02"/>
        <n v="253.03"/>
        <n v="-35.0"/>
        <n v="107.8"/>
        <n v="132.93"/>
        <n v="90.39"/>
        <n v="15.15"/>
        <n v="143.68"/>
        <n v="1021.52"/>
        <n v="123.26"/>
        <n v="3.22"/>
        <n v="5.23"/>
        <n v="71.19"/>
        <n v="5.64"/>
        <n v="94.4"/>
        <n v="694.94"/>
        <n v="24.85"/>
        <n v="73.74"/>
        <n v="-3408.98"/>
        <n v="3.39"/>
        <n v="816.98"/>
        <n v="41.39"/>
        <n v="55.91"/>
        <n v="7.9"/>
        <n v="213.11"/>
        <n v="67.29"/>
        <n v="3.0"/>
        <n v="127.7"/>
        <n v="12.49"/>
      </sharedItems>
    </cacheField>
    <cacheField name="CATEGORY" numFmtId="0">
      <sharedItems>
        <s v="CC FEES"/>
        <s v="SPOTIFY"/>
        <s v="ALCOHOL"/>
        <s v="SUBSCRIPTION SERVICES"/>
        <s v="PETS"/>
        <s v="GROCERIES"/>
        <s v="ENTERTAINMENT"/>
        <s v="TAKEOUT"/>
        <s v="HOTELS"/>
        <s v="HOUSEHOLD"/>
        <s v="NEWSPAPER"/>
        <s v="GAS"/>
        <s v="CHARITY"/>
        <s v="COFFEE"/>
        <s v="CLOTHES"/>
        <s v="INTERNET"/>
        <s v="DINE IN"/>
        <s v="TRANSPORTATION"/>
        <s v="PAYMENT"/>
        <s v="PARKING"/>
        <s v="MOBILE"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6:E78" sheet="CC - Sep 23"/>
  </cacheSource>
  <cacheFields>
    <cacheField name="ITEM" numFmtId="0">
      <sharedItems>
        <s v="SPOTIFY                 STOCKHOLM"/>
        <s v="DOGTOPIA OF LONDON 00-0 LONDON"/>
        <s v="NATIONAL CANADA C133    LONDON"/>
        <s v="APPLE.COM/BILL          TORONTO"/>
        <s v="COUCHE-TARD # 1274      LACHINE"/>
        <s v="DUNDAS ST ESSO 0322     LONDON"/>
        <s v="ONROUTE                 MALLORYTOWN"/>
        <s v="SHELL FLYING J 862      AYR"/>
        <s v="AGENCE DE MOBILITE DURA MONTREAL"/>
        <s v="SAQ23210MONT-ROYAL E-ME MONTREAL"/>
        <s v="STEAK FRITES (ST-ANTOIN MONTREAL"/>
        <s v="TAVERNE LES TORCHES TAV MONTREAL"/>
        <s v="UBER EATS               HTTPS://HELP.UB"/>
        <s v="UBER TRIP               HTTPS://HELP.UB"/>
        <s v="LCBO/RAO #7777 TORONTO  TORONTO"/>
        <s v="MARKET                  ODESSA"/>
        <s v="REXALL PHARMACY #0851 T TORONTO"/>
        <s v="VIA RAIL CANADA INC     MONTREAL"/>
        <s v="PETSMART INC. 2433      LONDON"/>
        <s v="STARBUCKS COFFEE #51    LONDON"/>
        <s v="THE GLOBE AND MAIL INC  TORONTO"/>
        <s v="AMAZON CHANNELS         AMAZON.CA"/>
        <s v="PET VALU #2027          LONDON"/>
        <s v="FARM BOY #91 LONDON     LONDON"/>
        <s v="FORKED RIVER BREWING C  LONDON"/>
        <s v="THE GREAT CANADIAN BAGE LONDON"/>
        <s v="AMAZON.CA PRIME MEMBER  AMAZON.CA/PRI"/>
        <s v="RED LOBSTER 8116        LONDON"/>
        <s v="AIRCANADA               WINNIPEG"/>
        <s v="PLAZA SUSHI OMAKASE 001 LONDON"/>
        <s v="GLOBAL PET FOODS        LONDON"/>
        <s v="METRO  150              LONDON"/>
        <s v="VIA RAIL                MONTREAL"/>
        <s v="VIA RAIL/31PZJF         MONTREAL"/>
        <s v="VIA RAIL/YJ0QYY         MONTREAL"/>
        <s v="PIONEER STN #131 PIONEE LONDON"/>
        <s v="TWISTEE TREAT           London"/>
        <s v="AMAZON.CA*Z84ZH94A0     AMAZON.CA"/>
        <s v="CDNCANCERSOC-DR CDNCANC TORONTO"/>
        <s v="HUNTR.CO                SEATTLE"/>
        <s v="LINKEDIN CORPORATION    MOUNTAIN VIEW"/>
        <s v="TOO GOOD TO GO CANADA T VANCOUVER"/>
        <s v="DAVID YURMAN - ECOMM    212-896-1550"/>
        <s v="AMZN MKTP CA*ZT5S46OS0  WWW.AMAZON.CA"/>
        <s v="AMZN MKTP CA*ZT9OC4LE1  WWW.AMAZON.CA"/>
        <s v="NESTLÉ CANADA INC       TORONTO"/>
        <s v="ROGERS ******3772       888-764-3771"/>
        <s v="LOCOMOTIVE ESPRESSO SOU London"/>
        <s v="THE ECONOMIST The Econo NEW YORK"/>
      </sharedItems>
    </cacheField>
    <cacheField name=" DATE " numFmtId="167">
      <sharedItems containsSemiMixedTypes="0" containsDate="1" containsString="0">
        <d v="2024-09-24T00:00:00Z"/>
        <d v="2024-09-23T00:00:00Z"/>
        <d v="2024-09-22T00:00:00Z"/>
        <d v="2024-09-21T00:00:00Z"/>
        <d v="2024-09-20T00:00:00Z"/>
        <d v="2024-09-19T00:00:00Z"/>
        <d v="2024-09-18T00:00:00Z"/>
        <d v="2024-09-16T00:00:00Z"/>
        <d v="2024-09-15T00:00:00Z"/>
        <d v="2024-09-14T00:00:00Z"/>
        <d v="2024-09-13T00:00:00Z"/>
        <d v="2024-09-12T00:00:00Z"/>
        <d v="2024-09-11T00:00:00Z"/>
        <d v="2024-09-10T00:00:00Z"/>
        <d v="2024-09-09T00:00:00Z"/>
        <d v="2024-09-08T00:00:00Z"/>
        <d v="2024-09-07T00:00:00Z"/>
        <d v="2024-09-06T00:00:00Z"/>
        <d v="2024-09-04T00:00:00Z"/>
        <d v="2024-09-03T00:00:00Z"/>
        <d v="2024-09-02T00:00:00Z"/>
        <d v="2024-09-01T00:00:00Z"/>
        <d v="2024-08-31T00:00:00Z"/>
      </sharedItems>
    </cacheField>
    <cacheField name=" CHARGE " numFmtId="164">
      <sharedItems containsSemiMixedTypes="0" containsString="0" containsNumber="1">
        <n v="16.94"/>
        <n v="11.3"/>
        <n v="145.77"/>
        <n v="186.94"/>
        <n v="18.07"/>
        <n v="60.0"/>
        <n v="5.27"/>
        <n v="17.05"/>
        <n v="67.05"/>
        <n v="12.75"/>
        <n v="18.6"/>
        <n v="60.71"/>
        <n v="35.82"/>
        <n v="71.54"/>
        <n v="3.0"/>
        <n v="11.17"/>
        <n v="239.4"/>
        <n v="24.58"/>
        <n v="5.64"/>
        <n v="3.5"/>
        <n v="35.02"/>
        <n v="20.25"/>
        <n v="36.11"/>
        <n v="6.22"/>
        <n v="59.97"/>
        <n v="4.51"/>
        <n v="159.6"/>
        <n v="19.39"/>
        <n v="19.81"/>
        <n v="22.43"/>
        <n v="12.83"/>
        <n v="11.29"/>
        <n v="142.06"/>
        <n v="-100.14"/>
        <n v="59.78"/>
        <n v="51.61"/>
        <n v="37.18"/>
        <n v="-753.71"/>
        <n v="105.09"/>
        <n v="753.71"/>
        <n v="50.88"/>
        <n v="16.2"/>
        <n v="51.97"/>
        <n v="50.0"/>
        <n v="55.55"/>
        <n v="20.17"/>
        <n v="10.16"/>
        <n v="117.27"/>
        <n v="7.99"/>
        <n v="1949.25"/>
        <n v="48.68"/>
        <n v="24.85"/>
        <n v="129.43"/>
        <n v="76.75"/>
        <n v="135.2"/>
        <n v="90.39"/>
        <n v="21.28"/>
        <n v="13.95"/>
        <n v="72.12"/>
        <n v="93.79"/>
        <n v="4.99"/>
        <n v="6.77"/>
      </sharedItems>
    </cacheField>
    <cacheField name="CATEGORY" numFmtId="0">
      <sharedItems>
        <s v="SPOTIFY"/>
        <s v="PETS"/>
        <s v="TRANSPORTATION"/>
        <s v="TECHNOLOGY"/>
        <s v="TAKEOUT"/>
        <s v="GAS"/>
        <s v="DINE IN"/>
        <s v="ALCOHOL"/>
        <s v="HEALTH"/>
        <s v="COFFEE"/>
        <s v="NEWSPAPER"/>
        <s v="GROCERIES"/>
        <s v="SUBSCRIPTION SERVICES"/>
        <s v="CHARITY"/>
        <s v="SUBSCRIPTIONS"/>
        <s v="HOUSEHOLD"/>
        <s v="ENTERTAINMENT"/>
        <s v="PARAMOUNT"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6:E74" sheet="CC - Oct 23"/>
  </cacheSource>
  <cacheFields>
    <cacheField name="ITEM" numFmtId="0">
      <sharedItems containsString="0" containsBlank="1">
        <m/>
      </sharedItems>
    </cacheField>
    <cacheField name=" DATE " numFmtId="0">
      <sharedItems containsString="0" containsBlank="1">
        <m/>
      </sharedItems>
    </cacheField>
    <cacheField name=" CHARGE " numFmtId="0">
      <sharedItems containsString="0" containsBlank="1">
        <m/>
      </sharedItems>
    </cacheField>
    <cacheField name="CATEGORY" numFmtId="0">
      <sharedItems>
        <s v="GROCERIES"/>
        <s v="TAKEOUT"/>
        <s v="CANNABIS"/>
        <s v="PAYMENT"/>
        <s v="PETS"/>
        <s v="DINE IN"/>
        <s v="MOBILE"/>
        <s v="HOUSEHOLD"/>
        <s v="TRANSPORTATION"/>
        <s v="TECHNOLOGY"/>
        <s v="INTERNET"/>
        <s v="ALCOHOL"/>
        <s v="GAS"/>
        <s v="SUBSCRIPTIONS"/>
        <s v="ENTERTAINMENT"/>
        <s v="NEWSPAPER"/>
        <s v="DELIVERY"/>
        <s v="CHARITY"/>
        <s v="COFFEE"/>
        <s v="PARKI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name="CC - Jan 24" cacheId="0" dataCaption="" compact="0" compactData="0">
  <location ref="G6:H30" firstHeaderRow="0" firstDataRow="1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 DATE " compact="0" numFmtId="16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 CHARGE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CATEGORY" axis="axisRow" compact="0" outline="0" multipleItemSelectionAllowed="1" showAll="0" sortType="ascending">
      <items>
        <item x="7"/>
        <item x="22"/>
        <item x="16"/>
        <item x="11"/>
        <item x="21"/>
        <item x="5"/>
        <item x="15"/>
        <item x="1"/>
        <item x="20"/>
        <item x="6"/>
        <item x="3"/>
        <item x="14"/>
        <item x="0"/>
        <item x="4"/>
        <item x="2"/>
        <item x="10"/>
        <item x="12"/>
        <item x="8"/>
        <item x="19"/>
        <item x="9"/>
        <item x="18"/>
        <item x="17"/>
        <item x="13"/>
        <item t="default"/>
      </items>
    </pivotField>
  </pivotFields>
  <rowFields>
    <field x="3"/>
  </rowFields>
  <dataFields>
    <dataField name="SUM of  CHARGE " fld="2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CC - Feb 24" cacheId="1" dataCaption="" compact="0" compactData="0">
  <location ref="G6:H26" firstHeaderRow="0" firstDataRow="1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 DATE 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 CHARGE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ATEGORY" axis="axisRow" compact="0" outline="0" multipleItemSelectionAllowed="1" showAll="0" sortType="ascending">
      <items>
        <item x="0"/>
        <item x="15"/>
        <item x="16"/>
        <item x="18"/>
        <item x="7"/>
        <item x="14"/>
        <item x="5"/>
        <item x="17"/>
        <item x="6"/>
        <item x="3"/>
        <item x="10"/>
        <item x="9"/>
        <item x="11"/>
        <item x="2"/>
        <item x="13"/>
        <item x="12"/>
        <item x="1"/>
        <item x="4"/>
        <item x="8"/>
        <item t="default"/>
      </items>
    </pivotField>
  </pivotFields>
  <rowFields>
    <field x="3"/>
  </rowFields>
  <dataFields>
    <dataField name="SUM of  CHARGE " fld="2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CC - Mar 24" cacheId="2" dataCaption="" compact="0" compactData="0">
  <location ref="G6:H25" firstHeaderRow="0" firstDataRow="1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 DATE 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 CHARGE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CATEGORY" axis="axisRow" compact="0" outline="0" multipleItemSelectionAllowed="1" showAll="0" sortType="ascending">
      <items>
        <item x="8"/>
        <item x="10"/>
        <item x="7"/>
        <item x="12"/>
        <item x="17"/>
        <item x="13"/>
        <item x="1"/>
        <item x="15"/>
        <item x="3"/>
        <item x="0"/>
        <item x="4"/>
        <item x="16"/>
        <item x="5"/>
        <item x="14"/>
        <item x="2"/>
        <item x="6"/>
        <item x="11"/>
        <item x="9"/>
        <item t="default"/>
      </items>
    </pivotField>
  </pivotFields>
  <rowFields>
    <field x="3"/>
  </rowFields>
  <dataFields>
    <dataField name="SUM of  CHARGE " fld="2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CC - Apr 24" cacheId="3" dataCaption="" compact="0" compactData="0">
  <location ref="G6:H25" firstHeaderRow="0" firstDataRow="1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 DATE 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 CHARGE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ATEGORY" axis="axisRow" compact="0" outline="0" multipleItemSelectionAllowed="1" showAll="0" sortType="ascending">
      <items>
        <item x="10"/>
        <item x="13"/>
        <item x="16"/>
        <item x="17"/>
        <item x="1"/>
        <item x="14"/>
        <item x="0"/>
        <item x="5"/>
        <item x="3"/>
        <item x="8"/>
        <item x="2"/>
        <item x="4"/>
        <item x="9"/>
        <item x="12"/>
        <item x="6"/>
        <item x="7"/>
        <item x="15"/>
        <item x="11"/>
        <item t="default"/>
      </items>
    </pivotField>
  </pivotFields>
  <rowFields>
    <field x="3"/>
  </rowFields>
  <dataFields>
    <dataField name="SUM of  CHARGE " fld="2" baseField="0"/>
  </dataFields>
  <pivotTableStyleInfo name="Google Sheets Pivot Table Style" showRowHeaders="1" showColHeaders="1" showLastColumn="1"/>
</pivotTableDefinition>
</file>

<file path=xl/pivotTables/pivotTable5.xml><?xml version="1.0" encoding="utf-8"?>
<pivotTableDefinition xmlns="http://schemas.openxmlformats.org/spreadsheetml/2006/main" name="CC - May 24" cacheId="4" dataCaption="" compact="0" compactData="0">
  <location ref="G6:H25" firstHeaderRow="0" firstDataRow="1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 DATE 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 CHARGE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CATEGORY" axis="axisRow" compact="0" outline="0" multipleItemSelectionAllowed="1" showAll="0" sortType="ascending">
      <items>
        <item x="17"/>
        <item x="13"/>
        <item x="14"/>
        <item x="6"/>
        <item x="12"/>
        <item x="8"/>
        <item x="4"/>
        <item x="3"/>
        <item x="11"/>
        <item x="10"/>
        <item x="0"/>
        <item x="16"/>
        <item x="15"/>
        <item x="7"/>
        <item x="1"/>
        <item x="5"/>
        <item x="2"/>
        <item x="9"/>
        <item t="default"/>
      </items>
    </pivotField>
  </pivotFields>
  <rowFields>
    <field x="3"/>
  </rowFields>
  <dataFields>
    <dataField name="SUM of  CHARGE " fld="2" baseField="0"/>
  </dataFields>
  <pivotTableStyleInfo name="Google Sheets Pivot Table Style" showRowHeaders="1" showColHeaders="1" showLastColumn="1"/>
</pivotTableDefinition>
</file>

<file path=xl/pivotTables/pivotTable6.xml><?xml version="1.0" encoding="utf-8"?>
<pivotTableDefinition xmlns="http://schemas.openxmlformats.org/spreadsheetml/2006/main" name="CC - Jun 24" cacheId="5" dataCaption="" compact="0" compactData="0">
  <location ref="G6:H29" firstHeaderRow="0" firstDataRow="1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 DATE 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 CHARG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CATEGORY" axis="axisRow" compact="0" outline="0" multipleItemSelectionAllowed="1" showAll="0" sortType="ascending">
      <items>
        <item x="15"/>
        <item x="14"/>
        <item x="12"/>
        <item x="17"/>
        <item x="7"/>
        <item x="4"/>
        <item x="8"/>
        <item x="13"/>
        <item x="19"/>
        <item x="18"/>
        <item x="5"/>
        <item x="2"/>
        <item x="20"/>
        <item x="21"/>
        <item x="9"/>
        <item x="10"/>
        <item x="0"/>
        <item x="3"/>
        <item x="11"/>
        <item x="16"/>
        <item x="1"/>
        <item x="6"/>
        <item t="default"/>
      </items>
    </pivotField>
  </pivotFields>
  <rowFields>
    <field x="3"/>
  </rowFields>
  <dataFields>
    <dataField name="SUM of  CHARGE " fld="2" baseField="0"/>
  </dataFields>
  <pivotTableStyleInfo name="Google Sheets Pivot Table Style" showRowHeaders="1" showColHeaders="1" showLastColumn="1"/>
</pivotTableDefinition>
</file>

<file path=xl/pivotTables/pivotTable7.xml><?xml version="1.0" encoding="utf-8"?>
<pivotTableDefinition xmlns="http://schemas.openxmlformats.org/spreadsheetml/2006/main" name="CC - Jul 24" cacheId="6" dataCaption="" compact="0" compactData="0">
  <location ref="G6:H26" firstHeaderRow="0" firstDataRow="1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DATE 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 CHARGE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ATEGORY" axis="axisRow" compact="0" outline="0" multipleItemSelectionAllowed="1" showAll="0" sortType="ascending">
      <items>
        <item x="11"/>
        <item x="9"/>
        <item x="12"/>
        <item x="10"/>
        <item x="5"/>
        <item x="14"/>
        <item x="4"/>
        <item x="15"/>
        <item x="3"/>
        <item x="13"/>
        <item x="16"/>
        <item x="8"/>
        <item x="18"/>
        <item x="17"/>
        <item x="1"/>
        <item x="7"/>
        <item x="2"/>
        <item x="0"/>
        <item x="6"/>
        <item t="default"/>
      </items>
    </pivotField>
  </pivotFields>
  <rowFields>
    <field x="3"/>
  </rowFields>
  <dataFields>
    <dataField name="SUM of  CHARGE " fld="2" baseField="0"/>
  </dataFields>
  <pivotTableStyleInfo name="Google Sheets Pivot Table Style" showRowHeaders="1" showColHeaders="1" showLastColumn="1"/>
</pivotTableDefinition>
</file>

<file path=xl/pivotTables/pivotTable8.xml><?xml version="1.0" encoding="utf-8"?>
<pivotTableDefinition xmlns="http://schemas.openxmlformats.org/spreadsheetml/2006/main" name="CC - Aug 23" cacheId="7" dataCaption="" compact="0" compactData="0">
  <location ref="G6:H28" firstHeaderRow="0" firstDataRow="1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 DATE 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 CHARGE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CATEGORY" axis="axisRow" compact="0" outline="0" multipleItemSelectionAllowed="1" showAll="0" sortType="ascending">
      <items>
        <item x="2"/>
        <item x="0"/>
        <item x="12"/>
        <item x="14"/>
        <item x="13"/>
        <item x="16"/>
        <item x="6"/>
        <item x="11"/>
        <item x="5"/>
        <item x="8"/>
        <item x="9"/>
        <item x="15"/>
        <item x="20"/>
        <item x="10"/>
        <item x="19"/>
        <item x="18"/>
        <item x="4"/>
        <item x="1"/>
        <item x="3"/>
        <item x="7"/>
        <item x="17"/>
        <item t="default"/>
      </items>
    </pivotField>
  </pivotFields>
  <rowFields>
    <field x="3"/>
  </rowFields>
  <dataFields>
    <dataField name="SUM of  CHARGE " fld="2" baseField="0"/>
  </dataFields>
  <pivotTableStyleInfo name="Google Sheets Pivot Table Style" showRowHeaders="1" showColHeaders="1" showLastColumn="1"/>
</pivotTableDefinition>
</file>

<file path=xl/pivotTables/pivotTable9.xml><?xml version="1.0" encoding="utf-8"?>
<pivotTableDefinition xmlns="http://schemas.openxmlformats.org/spreadsheetml/2006/main" name="CC - Sep 23" cacheId="8" dataCaption="" compact="0" compactData="0">
  <location ref="G6:H25" firstHeaderRow="0" firstDataRow="1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 DATE 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 CHARGE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CATEGORY" axis="axisRow" compact="0" outline="0" multipleItemSelectionAllowed="1" showAll="0" sortType="ascending">
      <items>
        <item x="7"/>
        <item x="13"/>
        <item x="9"/>
        <item x="6"/>
        <item x="16"/>
        <item x="5"/>
        <item x="11"/>
        <item x="8"/>
        <item x="15"/>
        <item x="10"/>
        <item x="17"/>
        <item x="1"/>
        <item x="0"/>
        <item x="12"/>
        <item x="14"/>
        <item x="4"/>
        <item x="3"/>
        <item x="2"/>
        <item t="default"/>
      </items>
    </pivotField>
  </pivotFields>
  <rowFields>
    <field x="3"/>
  </rowFields>
  <dataFields>
    <dataField name="SUM of  CHARGE " fld="2" baseField="0"/>
  </dataFields>
  <pivotTableStyleInfo name="Google Sheets Pivot Table Style" showRowHeaders="1" showColHeaders="1" showLastColumn="1"/>
</pivotTableDefinition>
</file>

<file path=xl/pivotTables/pivotTable10.xml><?xml version="1.0" encoding="utf-8"?>
<pivotTableDefinition xmlns="http://schemas.openxmlformats.org/spreadsheetml/2006/main" name="CC - Oct 23" cacheId="9" dataCaption="" compact="0" compactData="0">
  <location ref="G6:H27" firstHeaderRow="0" firstDataRow="1" firstDataCol="0"/>
  <pivotFields>
    <pivotField name="ITEM" compact="0" outline="0" multipleItemSelectionAllowed="1" showAll="0">
      <items>
        <item x="0"/>
        <item t="default"/>
      </items>
    </pivotField>
    <pivotField name=" DATE " compact="0" outline="0" multipleItemSelectionAllowed="1" showAll="0">
      <items>
        <item x="0"/>
        <item t="default"/>
      </items>
    </pivotField>
    <pivotField name=" CHARGE " dataField="1" compact="0" outline="0" multipleItemSelectionAllowed="1" showAll="0">
      <items>
        <item x="0"/>
        <item t="default"/>
      </items>
    </pivotField>
    <pivotField name="CATEGORY" axis="axisRow" compact="0" outline="0" multipleItemSelectionAllowed="1" showAll="0" sortType="ascending">
      <items>
        <item x="11"/>
        <item x="2"/>
        <item x="17"/>
        <item x="18"/>
        <item x="16"/>
        <item x="5"/>
        <item x="14"/>
        <item x="12"/>
        <item x="0"/>
        <item x="7"/>
        <item x="10"/>
        <item x="6"/>
        <item x="15"/>
        <item x="19"/>
        <item x="3"/>
        <item x="4"/>
        <item x="13"/>
        <item x="1"/>
        <item x="9"/>
        <item x="8"/>
        <item t="default"/>
      </items>
    </pivotField>
  </pivotFields>
  <rowFields>
    <field x="3"/>
  </rowFields>
  <dataFields>
    <dataField name="SUM of  CHARGE " fld="2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hyperlink" Target="http://ohbombay.ca/" TargetMode="External"/><Relationship Id="rId3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7.5"/>
    <col customWidth="1" min="4" max="4" width="17.88"/>
    <col customWidth="1" min="5" max="5" width="18.5"/>
    <col customWidth="1" min="6" max="6" width="13.75"/>
    <col customWidth="1" min="7" max="7" width="1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</row>
    <row r="2">
      <c r="A2" s="4" t="s">
        <v>4</v>
      </c>
      <c r="B2" s="5">
        <f>'CB - Jan 24'!B5</f>
        <v>5326.42</v>
      </c>
      <c r="C2" s="5">
        <f>'CB - Jan 24'!B4</f>
        <v>1843.01</v>
      </c>
      <c r="D2" s="5">
        <f>'CB - Jan 24'!B6</f>
        <v>3623.7</v>
      </c>
      <c r="G2" s="5"/>
    </row>
    <row r="3">
      <c r="A3" s="4" t="s">
        <v>5</v>
      </c>
      <c r="B3" s="5">
        <f>'CB - Feb 24'!B5</f>
        <v>5326.42</v>
      </c>
      <c r="C3" s="5">
        <f>'CB - Feb 24'!B4</f>
        <v>924.67</v>
      </c>
      <c r="D3" s="5">
        <f>'CB - Feb 24'!B6</f>
        <v>3623.7</v>
      </c>
      <c r="G3" s="5"/>
    </row>
    <row r="4">
      <c r="A4" s="4" t="s">
        <v>6</v>
      </c>
      <c r="B4" s="5">
        <f>'CB - Mar 24'!B5</f>
        <v>5669.42</v>
      </c>
      <c r="C4" s="6">
        <f>'CB - Mar 24'!B4</f>
        <v>1580.67</v>
      </c>
      <c r="D4" s="5">
        <f>'CB - Mar 24'!B6</f>
        <v>3623.7</v>
      </c>
      <c r="G4" s="6"/>
    </row>
    <row r="5">
      <c r="A5" s="4" t="s">
        <v>7</v>
      </c>
      <c r="B5" s="5">
        <f>'CB - Apr 24'!B5</f>
        <v>5669.42</v>
      </c>
      <c r="C5" s="5">
        <f>'CB - Apr 24'!B4</f>
        <v>1915.94</v>
      </c>
      <c r="D5" s="5">
        <f>'CB - Apr 24'!B6</f>
        <v>3623.7</v>
      </c>
      <c r="G5" s="5"/>
    </row>
    <row r="6">
      <c r="A6" s="4" t="s">
        <v>8</v>
      </c>
      <c r="B6" s="5">
        <f>'CB - May 24'!B5</f>
        <v>5669.42</v>
      </c>
      <c r="C6" s="5">
        <f>'CB - May 24'!B4</f>
        <v>739.74</v>
      </c>
      <c r="D6" s="5">
        <f>'CB - Mar 24'!B6</f>
        <v>3623.7</v>
      </c>
    </row>
    <row r="7">
      <c r="A7" s="4" t="s">
        <v>9</v>
      </c>
      <c r="B7" s="5">
        <f>'CB - Jun 24'!B5</f>
        <v>5669.42</v>
      </c>
      <c r="C7" s="5">
        <f>'CB - Jun 24'!B4</f>
        <v>0</v>
      </c>
      <c r="D7" s="5">
        <f>'CB - Jun 24'!B6</f>
        <v>3623.7</v>
      </c>
    </row>
    <row r="8">
      <c r="A8" s="4" t="s">
        <v>10</v>
      </c>
      <c r="B8" s="5">
        <f>'CB - Jul 24'!B5</f>
        <v>5669.42</v>
      </c>
      <c r="C8" s="5">
        <f>'CB - Jul 24'!B4</f>
        <v>0</v>
      </c>
      <c r="D8" s="5">
        <f>'CB - Jul 24'!B6</f>
        <v>3623.7</v>
      </c>
    </row>
    <row r="9">
      <c r="A9" s="4" t="s">
        <v>11</v>
      </c>
      <c r="B9" s="5">
        <f>'CB - Aug 24'!B5</f>
        <v>6224.56</v>
      </c>
      <c r="C9" s="5">
        <f>'CB - Aug 24'!B4</f>
        <v>0</v>
      </c>
      <c r="D9" s="5">
        <f>'CB - Aug 24'!B6</f>
        <v>4064.74</v>
      </c>
    </row>
    <row r="10">
      <c r="A10" s="4" t="s">
        <v>12</v>
      </c>
      <c r="B10" s="5">
        <f>'CB - Sep 24'!B5</f>
        <v>6224.56</v>
      </c>
      <c r="C10" s="5">
        <f>'CB - Sep 24'!B4</f>
        <v>0</v>
      </c>
      <c r="D10" s="5">
        <f>'CB - Sep 24'!B6</f>
        <v>4064.74</v>
      </c>
    </row>
    <row r="11">
      <c r="A11" s="4" t="s">
        <v>13</v>
      </c>
      <c r="B11" s="5">
        <f>'CB - Oct 24'!B5</f>
        <v>6222.56</v>
      </c>
      <c r="C11" s="5">
        <f>'CB - Oct 24'!B4</f>
        <v>0</v>
      </c>
      <c r="D11" s="5">
        <f>'CB - Oct 24'!B6</f>
        <v>4064</v>
      </c>
    </row>
    <row r="12">
      <c r="A12" s="4" t="s">
        <v>14</v>
      </c>
      <c r="B12" s="5">
        <f>'CB - Nov 24'!B5</f>
        <v>6222.56</v>
      </c>
      <c r="C12" s="5">
        <f>'CB - Nov 24'!B4</f>
        <v>0</v>
      </c>
      <c r="D12" s="5">
        <f>'CB - Nov 24'!B6</f>
        <v>4064</v>
      </c>
    </row>
    <row r="13">
      <c r="A13" s="4" t="s">
        <v>15</v>
      </c>
      <c r="B13" s="5">
        <f>'CB - Dec 24'!B5</f>
        <v>6222.56</v>
      </c>
      <c r="C13" s="5">
        <f>'CB - Dec 24'!B4</f>
        <v>0</v>
      </c>
      <c r="D13" s="5">
        <f>'CB - Dec 24'!B6</f>
        <v>4064</v>
      </c>
    </row>
    <row r="14">
      <c r="B14" s="5"/>
      <c r="C14" s="5"/>
      <c r="D14" s="5"/>
    </row>
    <row r="15">
      <c r="A15" s="3" t="s">
        <v>16</v>
      </c>
      <c r="B15" s="7">
        <f t="shared" ref="B15:D15" si="1">SUM(B2:B13)</f>
        <v>70116.74</v>
      </c>
      <c r="C15" s="7">
        <f t="shared" si="1"/>
        <v>7004.03</v>
      </c>
      <c r="D15" s="7">
        <f t="shared" si="1"/>
        <v>45687.38</v>
      </c>
      <c r="E15" s="8">
        <f>SUM(A15:D15)</f>
        <v>122808.15</v>
      </c>
      <c r="F15" s="9"/>
      <c r="G15" s="9"/>
    </row>
    <row r="17">
      <c r="A17" s="10" t="s">
        <v>17</v>
      </c>
    </row>
    <row r="18">
      <c r="A18" s="11" t="s">
        <v>18</v>
      </c>
      <c r="B18" s="12" t="s">
        <v>19</v>
      </c>
      <c r="C18" s="12" t="s">
        <v>20</v>
      </c>
      <c r="D18" s="12" t="s">
        <v>16</v>
      </c>
    </row>
    <row r="19">
      <c r="A19" s="11" t="s">
        <v>21</v>
      </c>
      <c r="B19" s="13">
        <v>89000.0</v>
      </c>
      <c r="C19" s="13">
        <v>20000.0</v>
      </c>
      <c r="D19" s="14">
        <f t="shared" ref="D19:D20" si="2">SUM(B19:C19)</f>
        <v>109000</v>
      </c>
    </row>
    <row r="20">
      <c r="A20" s="10" t="s">
        <v>22</v>
      </c>
      <c r="B20" s="13">
        <v>95000.0</v>
      </c>
      <c r="C20" s="13">
        <v>25000.0</v>
      </c>
      <c r="D20" s="14">
        <f t="shared" si="2"/>
        <v>120000</v>
      </c>
    </row>
    <row r="22">
      <c r="A22" s="10" t="s">
        <v>23</v>
      </c>
    </row>
    <row r="23">
      <c r="A23" s="12" t="s">
        <v>24</v>
      </c>
      <c r="B23" s="12" t="s">
        <v>19</v>
      </c>
      <c r="C23" s="12"/>
      <c r="D23" s="11" t="s">
        <v>16</v>
      </c>
    </row>
    <row r="24">
      <c r="A24" s="11" t="s">
        <v>25</v>
      </c>
      <c r="B24" s="13">
        <v>60500.0</v>
      </c>
      <c r="C24" s="14"/>
      <c r="D24" s="14">
        <f>SUM(B24:C24)</f>
        <v>60500</v>
      </c>
    </row>
    <row r="26">
      <c r="D26" s="14">
        <f>SUM(D20+D24)</f>
        <v>180500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7.0"/>
    <col customWidth="1" min="4" max="4" width="16.88"/>
    <col customWidth="1" min="5" max="5" width="17.0"/>
    <col customWidth="1" min="6" max="6" width="16.88"/>
  </cols>
  <sheetData>
    <row r="1">
      <c r="A1" s="3" t="s">
        <v>0</v>
      </c>
      <c r="B1" s="3" t="s">
        <v>26</v>
      </c>
      <c r="C1" s="3" t="s">
        <v>27</v>
      </c>
      <c r="D1" s="3" t="s">
        <v>28</v>
      </c>
      <c r="E1" s="3" t="s">
        <v>29</v>
      </c>
      <c r="F1" s="10" t="s">
        <v>30</v>
      </c>
    </row>
    <row r="2">
      <c r="A2" s="10" t="s">
        <v>31</v>
      </c>
      <c r="B2" s="6">
        <v>0.0</v>
      </c>
      <c r="C2" s="6">
        <v>0.0</v>
      </c>
      <c r="D2" s="6">
        <v>0.0</v>
      </c>
      <c r="E2" s="6">
        <v>0.0</v>
      </c>
    </row>
    <row r="3">
      <c r="A3" s="10" t="s">
        <v>32</v>
      </c>
      <c r="B3" s="6">
        <v>0.0</v>
      </c>
      <c r="C3" s="6">
        <v>2500.0</v>
      </c>
      <c r="D3" s="6">
        <v>0.0</v>
      </c>
      <c r="E3" s="6">
        <v>0.0</v>
      </c>
    </row>
    <row r="4">
      <c r="A4" s="10" t="s">
        <v>33</v>
      </c>
      <c r="B4" s="6">
        <v>0.0</v>
      </c>
      <c r="C4" s="6">
        <v>50.08</v>
      </c>
      <c r="D4" s="6">
        <v>2500.0</v>
      </c>
      <c r="E4" s="6">
        <v>0.0</v>
      </c>
    </row>
    <row r="5">
      <c r="A5" s="10" t="s">
        <v>34</v>
      </c>
      <c r="B5" s="6">
        <v>0.0</v>
      </c>
      <c r="C5" s="6">
        <v>0.0</v>
      </c>
      <c r="D5" s="6">
        <f>3000</f>
        <v>3000</v>
      </c>
      <c r="E5" s="6">
        <v>0.0</v>
      </c>
    </row>
    <row r="6">
      <c r="A6" s="10" t="s">
        <v>8</v>
      </c>
      <c r="B6" s="6">
        <v>0.0</v>
      </c>
      <c r="C6" s="6">
        <v>0.0</v>
      </c>
      <c r="D6" s="6">
        <v>2500.0</v>
      </c>
      <c r="E6" s="6">
        <v>0.0</v>
      </c>
    </row>
    <row r="7">
      <c r="A7" s="10" t="s">
        <v>35</v>
      </c>
      <c r="B7" s="6">
        <v>0.0</v>
      </c>
      <c r="C7" s="6">
        <v>0.0</v>
      </c>
      <c r="D7" s="6">
        <v>0.0</v>
      </c>
      <c r="E7" s="6">
        <v>0.0</v>
      </c>
    </row>
    <row r="8">
      <c r="A8" s="10" t="s">
        <v>36</v>
      </c>
      <c r="B8" s="6">
        <v>0.0</v>
      </c>
      <c r="C8" s="6">
        <v>0.0</v>
      </c>
      <c r="D8" s="6">
        <v>0.0</v>
      </c>
      <c r="E8" s="6">
        <v>0.0</v>
      </c>
    </row>
    <row r="9">
      <c r="A9" s="10" t="s">
        <v>37</v>
      </c>
      <c r="B9" s="6">
        <v>0.0</v>
      </c>
      <c r="C9" s="6">
        <v>0.0</v>
      </c>
      <c r="D9" s="6">
        <v>0.0</v>
      </c>
      <c r="E9" s="6">
        <v>0.0</v>
      </c>
    </row>
    <row r="10">
      <c r="A10" s="10" t="s">
        <v>38</v>
      </c>
      <c r="B10" s="6">
        <v>0.0</v>
      </c>
      <c r="C10" s="6">
        <v>0.0</v>
      </c>
      <c r="D10" s="6">
        <v>0.0</v>
      </c>
      <c r="E10" s="6">
        <v>0.0</v>
      </c>
    </row>
    <row r="11">
      <c r="A11" s="10" t="s">
        <v>39</v>
      </c>
      <c r="B11" s="6">
        <v>0.0</v>
      </c>
      <c r="C11" s="6">
        <v>0.0</v>
      </c>
      <c r="D11" s="6">
        <v>0.0</v>
      </c>
      <c r="E11" s="6">
        <v>0.0</v>
      </c>
    </row>
    <row r="12">
      <c r="A12" s="10" t="s">
        <v>40</v>
      </c>
      <c r="B12" s="6">
        <v>0.0</v>
      </c>
      <c r="C12" s="6">
        <v>0.0</v>
      </c>
      <c r="D12" s="6">
        <v>0.0</v>
      </c>
      <c r="E12" s="6">
        <v>0.0</v>
      </c>
    </row>
    <row r="13">
      <c r="A13" s="10" t="s">
        <v>41</v>
      </c>
      <c r="B13" s="6">
        <v>0.0</v>
      </c>
      <c r="C13" s="6">
        <v>0.0</v>
      </c>
      <c r="D13" s="6">
        <v>0.0</v>
      </c>
      <c r="E13" s="6">
        <v>0.0</v>
      </c>
    </row>
    <row r="16">
      <c r="A16" s="3"/>
      <c r="B16" s="5"/>
      <c r="C16" s="5"/>
      <c r="D16" s="5"/>
      <c r="E16" s="5"/>
    </row>
    <row r="17">
      <c r="A17" s="3" t="s">
        <v>42</v>
      </c>
      <c r="B17" s="5">
        <f t="shared" ref="B17:E17" si="1">SUM(B4:B13)</f>
        <v>0</v>
      </c>
      <c r="C17" s="5">
        <f t="shared" si="1"/>
        <v>50.08</v>
      </c>
      <c r="D17" s="5">
        <f t="shared" si="1"/>
        <v>8000</v>
      </c>
      <c r="E17" s="5">
        <f t="shared" si="1"/>
        <v>0</v>
      </c>
    </row>
    <row r="19">
      <c r="A19" s="3" t="s">
        <v>27</v>
      </c>
      <c r="B19" s="3" t="s">
        <v>43</v>
      </c>
      <c r="C19" s="3" t="s">
        <v>44</v>
      </c>
      <c r="D19" s="10" t="s">
        <v>45</v>
      </c>
    </row>
    <row r="20">
      <c r="A20" s="10" t="s">
        <v>17</v>
      </c>
      <c r="B20" s="13"/>
      <c r="C20" s="13">
        <f>50.08</f>
        <v>50.08</v>
      </c>
    </row>
    <row r="21">
      <c r="A21" s="10" t="s">
        <v>23</v>
      </c>
    </row>
    <row r="23">
      <c r="A23" s="3" t="s">
        <v>46</v>
      </c>
    </row>
    <row r="24">
      <c r="A24" s="10" t="s">
        <v>17</v>
      </c>
      <c r="B24" s="13">
        <v>8000.0</v>
      </c>
      <c r="C24" s="6">
        <f>D17</f>
        <v>8000</v>
      </c>
      <c r="D24" s="14">
        <f t="shared" ref="D24:D25" si="2">B24-C24</f>
        <v>0</v>
      </c>
    </row>
    <row r="25">
      <c r="A25" s="10" t="s">
        <v>23</v>
      </c>
      <c r="B25" s="13">
        <v>8000.0</v>
      </c>
      <c r="C25" s="6">
        <v>8000.0</v>
      </c>
      <c r="D25" s="14">
        <f t="shared" si="2"/>
        <v>0</v>
      </c>
    </row>
    <row r="28">
      <c r="A28" s="3" t="s">
        <v>47</v>
      </c>
    </row>
    <row r="29">
      <c r="A29" s="10" t="s">
        <v>27</v>
      </c>
      <c r="B29" s="13"/>
    </row>
    <row r="30">
      <c r="A30" s="10" t="s">
        <v>48</v>
      </c>
      <c r="B30" s="14"/>
    </row>
    <row r="31">
      <c r="A31" s="10" t="s">
        <v>28</v>
      </c>
      <c r="B31" s="14"/>
    </row>
    <row r="32">
      <c r="A32" s="10" t="s">
        <v>49</v>
      </c>
      <c r="B32" s="14"/>
    </row>
    <row r="33">
      <c r="A33" s="10"/>
      <c r="B33" s="14"/>
    </row>
    <row r="34">
      <c r="A34" s="3" t="s">
        <v>42</v>
      </c>
      <c r="B34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7.0"/>
    <col customWidth="1" min="4" max="4" width="16.88"/>
    <col customWidth="1" min="5" max="5" width="17.0"/>
    <col customWidth="1" min="6" max="6" width="16.88"/>
  </cols>
  <sheetData>
    <row r="1">
      <c r="A1" s="15" t="s">
        <v>0</v>
      </c>
      <c r="B1" s="15" t="s">
        <v>50</v>
      </c>
      <c r="C1" s="15" t="s">
        <v>51</v>
      </c>
      <c r="D1" s="15" t="s">
        <v>52</v>
      </c>
      <c r="E1" s="15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6" t="s">
        <v>31</v>
      </c>
      <c r="B2" s="17">
        <f>'CB - Jan 24'!C10</f>
        <v>1428.294593</v>
      </c>
      <c r="C2" s="17">
        <f>'CB - Jan 24'!C16</f>
        <v>92.04168404</v>
      </c>
      <c r="D2" s="17">
        <f>'CB - Jan 24'!C15</f>
        <v>106.7412159</v>
      </c>
      <c r="E2" s="17">
        <f>'CB - Jan 24'!C12</f>
        <v>59.17900596</v>
      </c>
      <c r="F2" s="17">
        <f>'CB - Jan 24'!D10</f>
        <v>971.7054073</v>
      </c>
      <c r="G2" s="17">
        <f>'CB - Jan 24'!D16</f>
        <v>62.61831596</v>
      </c>
      <c r="H2" s="17">
        <f>'CB - Jan 24'!D15</f>
        <v>72.61878411</v>
      </c>
      <c r="I2" s="17">
        <f>'CB - Jan 24'!D12</f>
        <v>40.26099404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6" t="s">
        <v>32</v>
      </c>
      <c r="B3" s="17">
        <f>'CB - Feb 24'!C10</f>
        <v>1428.294593</v>
      </c>
      <c r="C3" s="17">
        <f>'CB - Feb 24'!C16</f>
        <v>89.12558258</v>
      </c>
      <c r="D3" s="17">
        <f>'CB - Feb 24'!C15</f>
        <v>42.64054482</v>
      </c>
      <c r="E3" s="17">
        <f>'CB - Feb 24'!C12</f>
        <v>61.86896077</v>
      </c>
      <c r="F3" s="17">
        <f>'CB - Feb 24'!D10</f>
        <v>971.7054073</v>
      </c>
      <c r="G3" s="17">
        <f>'CB - Feb 24'!D16</f>
        <v>60.63441742</v>
      </c>
      <c r="H3" s="17">
        <f>'CB - Feb 24'!D15</f>
        <v>29.00945518</v>
      </c>
      <c r="I3" s="17">
        <f>'CB - Feb 24'!D12</f>
        <v>42.09103923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6" t="s">
        <v>33</v>
      </c>
      <c r="B4" s="17">
        <f>'CB - Mar 24'!C10</f>
        <v>1464.159292</v>
      </c>
      <c r="C4" s="17">
        <f>'CB - Mar 24'!C16</f>
        <v>90.27152102</v>
      </c>
      <c r="D4" s="17">
        <f>'CB - Mar 24'!C15</f>
        <v>63.46520465</v>
      </c>
      <c r="E4" s="17">
        <f>'CB - Mar 24'!C12</f>
        <v>63.4225</v>
      </c>
      <c r="F4" s="17">
        <f>'CB - Mar 24'!D10</f>
        <v>935.840708</v>
      </c>
      <c r="G4" s="17">
        <f>'CB - Mar 24'!D16</f>
        <v>57.69847898</v>
      </c>
      <c r="H4" s="17">
        <f>'CB - Mar 24'!D15</f>
        <v>40.56479535</v>
      </c>
      <c r="I4" s="17">
        <f>'CB - Mar 24'!D12</f>
        <v>40.5375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6" t="s">
        <v>34</v>
      </c>
      <c r="B5" s="17">
        <f>'CB - Apr 24'!C10</f>
        <v>1464.159292</v>
      </c>
      <c r="C5" s="17">
        <f>'CB - Apr 24'!C16</f>
        <v>84.35997788</v>
      </c>
      <c r="D5" s="17">
        <f>'CB - Apr 24'!C15</f>
        <v>59.70109513</v>
      </c>
      <c r="E5" s="17">
        <f>'CB - Apr 24'!C12</f>
        <v>57.04730642</v>
      </c>
      <c r="F5" s="17">
        <f>'CB - Apr 24'!D10</f>
        <v>935.840708</v>
      </c>
      <c r="G5" s="17">
        <f>'CB - Apr 24'!D16</f>
        <v>53.92002212</v>
      </c>
      <c r="H5" s="17">
        <f>'CB - Apr 24'!D15</f>
        <v>38.15890487</v>
      </c>
      <c r="I5" s="17">
        <f>'CB - Apr 24'!D12</f>
        <v>36.46269358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6" t="s">
        <v>8</v>
      </c>
      <c r="B6" s="17">
        <f>'CB - May 24'!C10</f>
        <v>1464.159292</v>
      </c>
      <c r="C6" s="17">
        <f>'CB - May 24'!C16</f>
        <v>77.58214049</v>
      </c>
      <c r="D6" s="17">
        <f>'CB - May 24'!C15</f>
        <v>33.38283186</v>
      </c>
      <c r="E6" s="17">
        <f>'CB - May 24'!C12</f>
        <v>57.04730642</v>
      </c>
      <c r="F6" s="17">
        <f>'CB - May 24'!D10</f>
        <v>935.840708</v>
      </c>
      <c r="G6" s="17">
        <f>'CB - May 24'!D16</f>
        <v>49.58785951</v>
      </c>
      <c r="H6" s="17">
        <f>'CB - May 24'!D15</f>
        <v>21.33716814</v>
      </c>
      <c r="I6" s="17">
        <f>'CB - May 24'!D12</f>
        <v>36.46269358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6" t="s">
        <v>35</v>
      </c>
      <c r="B7" s="17">
        <f>'CB - Jun 24'!C10</f>
        <v>1464.159292</v>
      </c>
      <c r="C7" s="17">
        <f>'CB - Jun 24'!D16</f>
        <v>62.94308628</v>
      </c>
      <c r="D7" s="17">
        <f>'CB - Jun 24'!C15</f>
        <v>26.86122235</v>
      </c>
      <c r="E7" s="17">
        <f>'CB - Jun 24'!C12</f>
        <v>57.04730642</v>
      </c>
      <c r="F7" s="17">
        <f>'CB - Jun 24'!D10</f>
        <v>935.840708</v>
      </c>
      <c r="G7" s="17">
        <f>'CB - Jun 24'!D16</f>
        <v>62.94308628</v>
      </c>
      <c r="H7" s="17">
        <f>'CB - Jun 24'!D15</f>
        <v>17.16877765</v>
      </c>
      <c r="I7" s="17">
        <f>'CB - Jun 24'!D12</f>
        <v>36.46269358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6" t="s">
        <v>36</v>
      </c>
      <c r="B8" s="17">
        <f>'CB - Jul 24'!C10</f>
        <v>1464.159292</v>
      </c>
      <c r="C8" s="17">
        <f>'CB - Jul 24'!C16</f>
        <v>130.4626936</v>
      </c>
      <c r="D8" s="17">
        <f>'CB - Jul 24'!C15</f>
        <v>23.8596958</v>
      </c>
      <c r="E8" s="17">
        <f>'CB - Jul 24'!C12</f>
        <v>57.04730642</v>
      </c>
      <c r="F8" s="17">
        <f>'CB - Jul 24'!D10</f>
        <v>935.840708</v>
      </c>
      <c r="G8" s="17">
        <f>'CB - Jul 24'!D16</f>
        <v>83.38730642</v>
      </c>
      <c r="H8" s="17">
        <f>'CB - Jul 24'!D15</f>
        <v>15.2503042</v>
      </c>
      <c r="I8" s="17">
        <f>'CB - Jul 24'!D12</f>
        <v>36.46269358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6" t="s">
        <v>37</v>
      </c>
      <c r="B9" s="17">
        <f>'CB - Aug 24'!C10</f>
        <v>1035.252863</v>
      </c>
      <c r="C9" s="17">
        <f>'CB - Aug 24'!C16</f>
        <v>146.4897713</v>
      </c>
      <c r="D9" s="17">
        <f>'CB - Aug 24'!C15</f>
        <v>23.71422274</v>
      </c>
      <c r="E9" s="17">
        <f>'CB - Aug 24'!C12</f>
        <v>56.56931041</v>
      </c>
      <c r="F9" s="17">
        <f>'CB - Aug 24'!D10</f>
        <v>676.0371371</v>
      </c>
      <c r="G9" s="17">
        <f>'CB - Aug 24'!D16</f>
        <v>95.66022868</v>
      </c>
      <c r="H9" s="17">
        <f>'CB - Aug 24'!D15</f>
        <v>15.48577726</v>
      </c>
      <c r="I9" s="17">
        <f>'CB - Aug 24'!D12</f>
        <v>36.94068959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6" t="s">
        <v>38</v>
      </c>
      <c r="B10" s="17">
        <f t="shared" ref="B10:B13" si="1">0</f>
        <v>0</v>
      </c>
      <c r="C10" s="17">
        <f>'CB - Sep 24'!C17</f>
        <v>130.0834009</v>
      </c>
      <c r="D10" s="17">
        <f>'CB - Sep 24'!C16</f>
        <v>23.71422274</v>
      </c>
      <c r="E10" s="17">
        <f>'CB - Sep 24'!C13</f>
        <v>56.56931041</v>
      </c>
      <c r="F10" s="17">
        <f t="shared" ref="F10:F13" si="2">0</f>
        <v>0</v>
      </c>
      <c r="G10" s="17">
        <f>'CB - Sep 24'!D17</f>
        <v>84.94659911</v>
      </c>
      <c r="H10" s="17">
        <f>'CB - Sep 24'!D16</f>
        <v>15.48577726</v>
      </c>
      <c r="I10" s="17">
        <f>'CB - Sep 24'!D13</f>
        <v>36.94068959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6" t="s">
        <v>39</v>
      </c>
      <c r="B11" s="17">
        <f t="shared" si="1"/>
        <v>0</v>
      </c>
      <c r="C11" s="17">
        <f>'CB - Oct 24'!C17</f>
        <v>91.87545815</v>
      </c>
      <c r="D11" s="17">
        <f>'CB - Oct 24'!C16</f>
        <v>24.3601837</v>
      </c>
      <c r="E11" s="17">
        <f>'CB - Oct 24'!C13</f>
        <v>56.5661976</v>
      </c>
      <c r="F11" s="17">
        <f t="shared" si="2"/>
        <v>0</v>
      </c>
      <c r="G11" s="17">
        <f>'CB - Oct 24'!D17</f>
        <v>60.00454185</v>
      </c>
      <c r="H11" s="17">
        <f>'CB - Oct 24'!D16</f>
        <v>15.9098163</v>
      </c>
      <c r="I11" s="17">
        <f>'CB - Oct 24'!D13</f>
        <v>36.9438024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6" t="s">
        <v>40</v>
      </c>
      <c r="B12" s="17">
        <f t="shared" si="1"/>
        <v>0</v>
      </c>
      <c r="C12" s="17">
        <f>'CB - Nov 24'!C17</f>
        <v>182.5471228</v>
      </c>
      <c r="D12" s="17">
        <f>'CB - Nov 24'!C16</f>
        <v>27.03393617</v>
      </c>
      <c r="E12" s="17">
        <f>'CB - Nov 24'!C13</f>
        <v>56.5661976</v>
      </c>
      <c r="F12" s="17">
        <f t="shared" si="2"/>
        <v>0</v>
      </c>
      <c r="G12" s="17">
        <f>'CB - Nov 24'!D17</f>
        <v>119.2228772</v>
      </c>
      <c r="H12" s="17">
        <f>'CB - Nov 24'!D16</f>
        <v>17.65606383</v>
      </c>
      <c r="I12" s="17">
        <f>'CB - Nov 24'!D13</f>
        <v>36.9438024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6" t="s">
        <v>41</v>
      </c>
      <c r="B13" s="17">
        <f t="shared" si="1"/>
        <v>0</v>
      </c>
      <c r="C13" s="17">
        <f>'CB - Dec 24'!C17</f>
        <v>124.335539</v>
      </c>
      <c r="D13" s="17">
        <f>'CB - Dec 24'!C16</f>
        <v>43.08250019</v>
      </c>
      <c r="E13" s="17">
        <f>'CB - Dec 24'!C13</f>
        <v>56.5661976</v>
      </c>
      <c r="F13" s="17">
        <f t="shared" si="2"/>
        <v>0</v>
      </c>
      <c r="G13" s="17">
        <f>'CB - Dec 24'!D17</f>
        <v>81.20446097</v>
      </c>
      <c r="H13" s="17">
        <f>'CB - Dec 24'!D16</f>
        <v>28.13749981</v>
      </c>
      <c r="I13" s="17">
        <f>'CB - Dec 24'!D13</f>
        <v>36.9438024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8"/>
      <c r="C14" s="18"/>
      <c r="D14" s="18"/>
      <c r="E14" s="18"/>
      <c r="F14" s="18"/>
      <c r="G14" s="18"/>
      <c r="H14" s="18"/>
      <c r="I14" s="18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" t="s">
        <v>42</v>
      </c>
      <c r="B15" s="19">
        <f t="shared" ref="B15:E15" si="3">SUM(B4:B13)</f>
        <v>8356.049323</v>
      </c>
      <c r="C15" s="17">
        <f t="shared" si="3"/>
        <v>1120.950711</v>
      </c>
      <c r="D15" s="17">
        <f t="shared" si="3"/>
        <v>349.1751153</v>
      </c>
      <c r="E15" s="17">
        <f t="shared" si="3"/>
        <v>574.4489393</v>
      </c>
      <c r="F15" s="19">
        <f>SUM(F2:F13)</f>
        <v>7298.651492</v>
      </c>
      <c r="G15" s="17">
        <f t="shared" ref="G15:I15" si="4">SUM(G4:G13)</f>
        <v>748.5754612</v>
      </c>
      <c r="H15" s="17">
        <f t="shared" si="4"/>
        <v>225.1548847</v>
      </c>
      <c r="I15" s="17">
        <f t="shared" si="4"/>
        <v>371.1010607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1" t="s">
        <v>58</v>
      </c>
      <c r="B16" s="17"/>
      <c r="C16" s="18">
        <f>AVERAGE(C2:C9)</f>
        <v>96.65955715</v>
      </c>
      <c r="D16" s="18"/>
      <c r="E16" s="18"/>
      <c r="F16" s="12"/>
      <c r="G16" s="18">
        <f>AVERAGE(G2:G9)</f>
        <v>65.80621442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6"/>
      <c r="B17" s="18"/>
      <c r="C17" s="18"/>
      <c r="D17" s="19">
        <f>SUM(C15:E15)</f>
        <v>2044.574766</v>
      </c>
      <c r="E17" s="18"/>
      <c r="F17" s="12"/>
      <c r="G17" s="12"/>
      <c r="H17" s="19">
        <f>SUM(G15:I15)</f>
        <v>1344.831407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20"/>
      <c r="C18" s="20"/>
      <c r="D18" s="20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1" t="s">
        <v>59</v>
      </c>
      <c r="B19" s="16"/>
      <c r="C19" s="21">
        <f>SUM(C2:C9)</f>
        <v>773.2764572</v>
      </c>
      <c r="D19" s="18">
        <f>SUM(G2:G9)</f>
        <v>526.4497154</v>
      </c>
      <c r="E19" s="18">
        <f t="shared" ref="E19:E21" si="5">C19+D19</f>
        <v>1299.726173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22" t="s">
        <v>60</v>
      </c>
      <c r="B20" s="20"/>
      <c r="C20" s="5">
        <f>SUM(D2:D9)</f>
        <v>380.3660332</v>
      </c>
      <c r="D20" s="5">
        <f>SUM(H2:H9)</f>
        <v>249.5939668</v>
      </c>
      <c r="E20" s="18">
        <f t="shared" si="5"/>
        <v>629.96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22" t="s">
        <v>61</v>
      </c>
      <c r="B21" s="12"/>
      <c r="C21" s="5">
        <f>SUM(E2:E9)</f>
        <v>469.2290028</v>
      </c>
      <c r="D21" s="18">
        <f>SUM(I2:I9)</f>
        <v>305.6809972</v>
      </c>
      <c r="E21" s="18">
        <f t="shared" si="5"/>
        <v>774.91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20"/>
      <c r="C22" s="5">
        <f t="shared" ref="C22:E22" si="6">SUM(C19:C21)</f>
        <v>1622.871493</v>
      </c>
      <c r="D22" s="18">
        <f t="shared" si="6"/>
        <v>1081.724679</v>
      </c>
      <c r="E22" s="18">
        <f t="shared" si="6"/>
        <v>2704.596173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6"/>
      <c r="B23" s="20"/>
      <c r="D23" s="18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1" t="s">
        <v>62</v>
      </c>
      <c r="B24" s="20"/>
      <c r="C24" s="5">
        <f>SUM(C10:C13)</f>
        <v>528.8415208</v>
      </c>
      <c r="D24" s="18">
        <f>SUM(G10:G13)</f>
        <v>345.3784792</v>
      </c>
      <c r="E24" s="18">
        <f t="shared" ref="E24:E26" si="7">SUM(C24:D24)</f>
        <v>874.22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1" t="s">
        <v>63</v>
      </c>
      <c r="B25" s="20"/>
      <c r="C25" s="5">
        <f>SUM(D10:D13)</f>
        <v>118.1908428</v>
      </c>
      <c r="D25" s="18">
        <f>SUM(H10:H13)</f>
        <v>77.18915721</v>
      </c>
      <c r="E25" s="18">
        <f t="shared" si="7"/>
        <v>195.38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1" t="s">
        <v>64</v>
      </c>
      <c r="B26" s="20"/>
      <c r="C26" s="5">
        <f>SUM(E10:E13)</f>
        <v>226.2679032</v>
      </c>
      <c r="D26" s="18">
        <f>SUM(I10:I13)</f>
        <v>147.7720968</v>
      </c>
      <c r="E26" s="18">
        <f t="shared" si="7"/>
        <v>374.04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6"/>
      <c r="B27" s="20"/>
      <c r="C27" s="18">
        <f t="shared" ref="C27:E27" si="8">SUM(C24:C26)</f>
        <v>873.3002669</v>
      </c>
      <c r="D27" s="18">
        <f t="shared" si="8"/>
        <v>570.3397331</v>
      </c>
      <c r="E27" s="18">
        <f t="shared" si="8"/>
        <v>1443.64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1" t="s">
        <v>65</v>
      </c>
      <c r="B28" s="18">
        <f>B15+F15</f>
        <v>15654.70081</v>
      </c>
      <c r="C28" s="18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1" t="s">
        <v>66</v>
      </c>
      <c r="B29" s="22">
        <v>1306.7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20"/>
      <c r="C30" s="20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6"/>
      <c r="B31" s="20"/>
      <c r="C31" s="20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6"/>
      <c r="B32" s="20"/>
      <c r="C32" s="20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6"/>
      <c r="B33" s="20"/>
      <c r="C33" s="20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6"/>
      <c r="B34" s="20"/>
      <c r="C34" s="20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6"/>
      <c r="B35" s="20"/>
      <c r="C35" s="20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6"/>
      <c r="B36" s="20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6"/>
      <c r="B37" s="20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2.38"/>
  </cols>
  <sheetData>
    <row r="1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70</v>
      </c>
      <c r="Q1" s="3" t="s">
        <v>71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2" t="s">
        <v>82</v>
      </c>
      <c r="B2" s="23">
        <f t="shared" ref="B2:B27" si="1">SUM(D2:O2)</f>
        <v>1430.24</v>
      </c>
      <c r="C2" s="23">
        <f t="shared" ref="C2:C27" si="2">AVERAGE(D2:G2)</f>
        <v>114.21</v>
      </c>
      <c r="D2" s="5">
        <f>'CC - Jan 24'!H7</f>
        <v>163.07</v>
      </c>
      <c r="E2" s="5">
        <f>'CC - Feb 24'!H7</f>
        <v>43.31</v>
      </c>
      <c r="F2" s="5">
        <f>'CC - Mar 24'!H7</f>
        <v>175.91</v>
      </c>
      <c r="G2" s="5">
        <f>'CC - Apr 24'!H7</f>
        <v>74.55</v>
      </c>
      <c r="H2" s="5">
        <f>'CC - May 24'!H7</f>
        <v>0</v>
      </c>
      <c r="I2" s="5">
        <f>'CC - Jun 24'!H7</f>
        <v>160.35</v>
      </c>
      <c r="J2" s="5">
        <f>'CC - Jul 24'!H7</f>
        <v>50</v>
      </c>
      <c r="K2" s="5">
        <f>'CC - Aug 23'!H7</f>
        <v>325.62</v>
      </c>
      <c r="L2" s="5">
        <f>'CC - Sep 23'!H7</f>
        <v>437.43</v>
      </c>
      <c r="M2" s="5">
        <f>'CC - Oct 23'!H7</f>
        <v>0</v>
      </c>
      <c r="N2" s="5">
        <f>'CC - Nov 23'!J6</f>
        <v>0</v>
      </c>
      <c r="O2" s="5">
        <f>'CC - Dec 23'!J6</f>
        <v>0</v>
      </c>
    </row>
    <row r="3">
      <c r="A3" s="12" t="s">
        <v>83</v>
      </c>
      <c r="B3" s="23">
        <f t="shared" si="1"/>
        <v>844.48</v>
      </c>
      <c r="C3" s="23">
        <f t="shared" si="2"/>
        <v>89.0075</v>
      </c>
      <c r="D3" s="5">
        <f>'CC - Jan 24'!H8</f>
        <v>106.03</v>
      </c>
      <c r="E3" s="6">
        <v>0.0</v>
      </c>
      <c r="F3" s="6">
        <v>0.0</v>
      </c>
      <c r="G3" s="5">
        <f>'CC - Apr 24'!H8</f>
        <v>250</v>
      </c>
      <c r="H3" s="6">
        <v>0.0</v>
      </c>
      <c r="I3" s="5">
        <f>'CC - Jun 24'!H8</f>
        <v>250</v>
      </c>
      <c r="J3" s="5">
        <f>'CC - Jul 24'!H8</f>
        <v>238.45</v>
      </c>
      <c r="K3" s="5">
        <f t="shared" ref="K3:L3" si="3">0</f>
        <v>0</v>
      </c>
      <c r="L3" s="5">
        <f t="shared" si="3"/>
        <v>0</v>
      </c>
      <c r="M3" s="5">
        <f>'CC - Oct 23'!H8</f>
        <v>0</v>
      </c>
      <c r="N3" s="5">
        <f t="shared" ref="N3:O3" si="4">0</f>
        <v>0</v>
      </c>
      <c r="O3" s="5">
        <f t="shared" si="4"/>
        <v>0</v>
      </c>
    </row>
    <row r="4">
      <c r="A4" s="12" t="s">
        <v>84</v>
      </c>
      <c r="B4" s="24">
        <f t="shared" si="1"/>
        <v>50</v>
      </c>
      <c r="C4" s="23">
        <f t="shared" si="2"/>
        <v>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f>'CC - Aug 23'!H9</f>
        <v>50</v>
      </c>
      <c r="L4" s="5">
        <f t="shared" ref="L4:O4" si="5">0</f>
        <v>0</v>
      </c>
      <c r="M4" s="5">
        <f t="shared" si="5"/>
        <v>0</v>
      </c>
      <c r="N4" s="5">
        <f t="shared" si="5"/>
        <v>0</v>
      </c>
      <c r="O4" s="5">
        <f t="shared" si="5"/>
        <v>0</v>
      </c>
    </row>
    <row r="5">
      <c r="A5" s="12" t="s">
        <v>85</v>
      </c>
      <c r="B5" s="23">
        <f t="shared" si="1"/>
        <v>1445.94</v>
      </c>
      <c r="C5" s="23">
        <f t="shared" si="2"/>
        <v>250</v>
      </c>
      <c r="D5" s="5">
        <f>'CC - Jan 24'!H9</f>
        <v>250</v>
      </c>
      <c r="E5" s="5">
        <f>'CC - Feb 24'!H8</f>
        <v>250</v>
      </c>
      <c r="F5" s="5">
        <f>'CC - Mar 24'!H8</f>
        <v>250</v>
      </c>
      <c r="G5" s="5">
        <f>'CC - Apr 24'!H8</f>
        <v>250</v>
      </c>
      <c r="H5" s="5">
        <f>'CC - May 24'!H8</f>
        <v>112.42</v>
      </c>
      <c r="I5" s="5">
        <f>'CC - Jun 24'!H9</f>
        <v>232.39</v>
      </c>
      <c r="J5" s="5">
        <f>'CC - Jul 24'!H10</f>
        <v>64.27</v>
      </c>
      <c r="K5" s="5">
        <f>'CC - Aug 23'!H10</f>
        <v>-35</v>
      </c>
      <c r="L5" s="5">
        <f>'CC - Sep 23'!H9</f>
        <v>71.86</v>
      </c>
      <c r="M5" s="5">
        <f>'CC - Oct 23'!H10</f>
        <v>0</v>
      </c>
      <c r="N5" s="5">
        <f>'CC - Nov 23'!J9</f>
        <v>0</v>
      </c>
      <c r="O5" s="5">
        <f>'CC - Dec 23'!J7</f>
        <v>0</v>
      </c>
    </row>
    <row r="6">
      <c r="A6" s="12" t="s">
        <v>86</v>
      </c>
      <c r="B6" s="23">
        <f t="shared" si="1"/>
        <v>641.27</v>
      </c>
      <c r="C6" s="23">
        <f t="shared" si="2"/>
        <v>84.4675</v>
      </c>
      <c r="D6" s="5">
        <f>'CC - Jan 24'!H10</f>
        <v>337.87</v>
      </c>
      <c r="E6" s="6">
        <f t="shared" ref="E6:F6" si="6">0</f>
        <v>0</v>
      </c>
      <c r="F6" s="6">
        <f t="shared" si="6"/>
        <v>0</v>
      </c>
      <c r="G6" s="6">
        <v>0.0</v>
      </c>
      <c r="H6" s="5">
        <f>'CC - May 24'!H10</f>
        <v>153</v>
      </c>
      <c r="I6" s="6">
        <v>0.0</v>
      </c>
      <c r="J6" s="5">
        <f>'CC - Jul 24'!H11</f>
        <v>150.4</v>
      </c>
      <c r="K6" s="5">
        <f t="shared" ref="K6:O6" si="7">0</f>
        <v>0</v>
      </c>
      <c r="L6" s="5">
        <f t="shared" si="7"/>
        <v>0</v>
      </c>
      <c r="M6" s="5">
        <f t="shared" si="7"/>
        <v>0</v>
      </c>
      <c r="N6" s="5">
        <f t="shared" si="7"/>
        <v>0</v>
      </c>
      <c r="O6" s="5">
        <f t="shared" si="7"/>
        <v>0</v>
      </c>
    </row>
    <row r="7">
      <c r="A7" s="12" t="s">
        <v>87</v>
      </c>
      <c r="B7" s="23">
        <f t="shared" si="1"/>
        <v>511.24</v>
      </c>
      <c r="C7" s="23">
        <f t="shared" si="2"/>
        <v>5.41</v>
      </c>
      <c r="D7" s="5">
        <f>'CC - Jan 24'!H11</f>
        <v>4.08</v>
      </c>
      <c r="E7" s="6">
        <f>'CC - Feb 24'!H9</f>
        <v>4.15</v>
      </c>
      <c r="F7" s="5">
        <f>0</f>
        <v>0</v>
      </c>
      <c r="G7" s="5">
        <f>'CC - Apr 24'!H9</f>
        <v>13.41</v>
      </c>
      <c r="H7" s="5">
        <f>'CC - May 24'!H10</f>
        <v>153</v>
      </c>
      <c r="I7" s="5">
        <f>'CC - Jun 24'!H10</f>
        <v>130</v>
      </c>
      <c r="J7" s="5">
        <f>0</f>
        <v>0</v>
      </c>
      <c r="K7" s="5">
        <f>'CC - Aug 23'!H11</f>
        <v>14.77</v>
      </c>
      <c r="L7" s="5">
        <f>'CC - Sep 23'!H10</f>
        <v>191.83</v>
      </c>
      <c r="M7" s="5">
        <f>'CC - Oct 23'!H11</f>
        <v>0</v>
      </c>
      <c r="N7" s="5">
        <f>'CC - Nov 23'!J10</f>
        <v>0</v>
      </c>
      <c r="O7" s="5">
        <f>'CC - Dec 23'!J8</f>
        <v>0</v>
      </c>
    </row>
    <row r="8">
      <c r="A8" s="12" t="s">
        <v>88</v>
      </c>
      <c r="B8" s="23">
        <f t="shared" si="1"/>
        <v>110.9</v>
      </c>
      <c r="C8" s="23">
        <f t="shared" si="2"/>
        <v>5.27</v>
      </c>
      <c r="D8" s="5">
        <f>'CC - Jan 24'!H12</f>
        <v>21.08</v>
      </c>
      <c r="E8" s="6">
        <f t="shared" ref="E8:I8" si="8">0</f>
        <v>0</v>
      </c>
      <c r="F8" s="5">
        <f t="shared" si="8"/>
        <v>0</v>
      </c>
      <c r="G8" s="6">
        <f t="shared" si="8"/>
        <v>0</v>
      </c>
      <c r="H8" s="6">
        <f t="shared" si="8"/>
        <v>0</v>
      </c>
      <c r="I8" s="6">
        <f t="shared" si="8"/>
        <v>0</v>
      </c>
      <c r="J8" s="5">
        <f>'CC - Jul 24'!H12</f>
        <v>89.82</v>
      </c>
      <c r="K8" s="5">
        <f t="shared" ref="K8:L8" si="9">0</f>
        <v>0</v>
      </c>
      <c r="L8" s="5">
        <f t="shared" si="9"/>
        <v>0</v>
      </c>
      <c r="M8" s="5">
        <f>'CC - Oct 23'!H12</f>
        <v>0</v>
      </c>
      <c r="N8" s="5">
        <f t="shared" ref="N8:O8" si="10">0</f>
        <v>0</v>
      </c>
      <c r="O8" s="5">
        <f t="shared" si="10"/>
        <v>0</v>
      </c>
    </row>
    <row r="9">
      <c r="A9" s="12" t="s">
        <v>89</v>
      </c>
      <c r="B9" s="23">
        <f t="shared" si="1"/>
        <v>2013.51</v>
      </c>
      <c r="C9" s="23">
        <f t="shared" si="2"/>
        <v>123.875</v>
      </c>
      <c r="D9" s="5">
        <f>'CC - Jan 24'!H13</f>
        <v>436.15</v>
      </c>
      <c r="E9" s="5">
        <f t="shared" ref="E9:F9" si="11">0</f>
        <v>0</v>
      </c>
      <c r="F9" s="5">
        <f t="shared" si="11"/>
        <v>0</v>
      </c>
      <c r="G9" s="5">
        <f>'CC - Apr 24'!H10</f>
        <v>59.35</v>
      </c>
      <c r="H9" s="5">
        <f>'CC - May 24'!H11</f>
        <v>517.75</v>
      </c>
      <c r="I9" s="5">
        <f>'CC - Jun 24'!H11</f>
        <v>577.19</v>
      </c>
      <c r="J9" s="5">
        <f>'CC - Jul 24'!H13</f>
        <v>184.13</v>
      </c>
      <c r="K9" s="5">
        <f>'CC - Aug 23'!H12</f>
        <v>158.83</v>
      </c>
      <c r="L9" s="5">
        <f>'CC - Sep 23'!H11</f>
        <v>80.11</v>
      </c>
      <c r="M9" s="5">
        <f>'CC - Oct 23'!H13</f>
        <v>0</v>
      </c>
      <c r="N9" s="5">
        <f>'CC - Nov 23'!J11</f>
        <v>0</v>
      </c>
      <c r="O9" s="5">
        <f>'CC - Dec 23'!J9</f>
        <v>0</v>
      </c>
    </row>
    <row r="10">
      <c r="A10" s="12" t="s">
        <v>90</v>
      </c>
      <c r="B10" s="23">
        <f t="shared" si="1"/>
        <v>1149.36</v>
      </c>
      <c r="C10" s="23">
        <f t="shared" si="2"/>
        <v>153.8525</v>
      </c>
      <c r="D10" s="5">
        <f>'CC - Jan 24'!H15</f>
        <v>36.97</v>
      </c>
      <c r="E10" s="5">
        <f>'CC - Feb 24'!H11</f>
        <v>157.97</v>
      </c>
      <c r="F10" s="5">
        <f>'CC - Mar 24'!H13</f>
        <v>27.78</v>
      </c>
      <c r="G10" s="5">
        <f>'CC - Apr 24'!H13</f>
        <v>392.69</v>
      </c>
      <c r="H10" s="5">
        <f>'CC - May 24'!H13</f>
        <v>271.06</v>
      </c>
      <c r="I10" s="5">
        <f>'CC - Jun 24'!H13</f>
        <v>33.08</v>
      </c>
      <c r="J10" s="5">
        <f>'CC - Jul 24'!H14</f>
        <v>51.28</v>
      </c>
      <c r="K10" s="5">
        <f>'CC - Aug 23'!H13</f>
        <v>74.26</v>
      </c>
      <c r="L10" s="5">
        <f>'CC - Sep 23'!H12</f>
        <v>104.27</v>
      </c>
      <c r="M10" s="5">
        <f>'CC - Oct 23'!H14</f>
        <v>0</v>
      </c>
      <c r="N10" s="5">
        <f>'CC - Nov 23'!J12</f>
        <v>0</v>
      </c>
      <c r="O10" s="5">
        <f>'CC - Dec 23'!J10</f>
        <v>0</v>
      </c>
    </row>
    <row r="11">
      <c r="A11" s="11" t="s">
        <v>91</v>
      </c>
      <c r="B11" s="23">
        <f t="shared" si="1"/>
        <v>127.96</v>
      </c>
      <c r="C11" s="23">
        <f t="shared" si="2"/>
        <v>31.99</v>
      </c>
      <c r="D11" s="6">
        <v>0.0</v>
      </c>
      <c r="E11" s="5">
        <f>'CC - Feb 24'!H12</f>
        <v>127.96</v>
      </c>
      <c r="F11" s="6">
        <v>0.0</v>
      </c>
      <c r="G11" s="6">
        <v>0.0</v>
      </c>
      <c r="H11" s="5">
        <f t="shared" ref="H11:O11" si="12">0</f>
        <v>0</v>
      </c>
      <c r="I11" s="5">
        <f t="shared" si="12"/>
        <v>0</v>
      </c>
      <c r="J11" s="5">
        <f t="shared" si="12"/>
        <v>0</v>
      </c>
      <c r="K11" s="5">
        <f t="shared" si="12"/>
        <v>0</v>
      </c>
      <c r="L11" s="5">
        <f t="shared" si="12"/>
        <v>0</v>
      </c>
      <c r="M11" s="5">
        <f t="shared" si="12"/>
        <v>0</v>
      </c>
      <c r="N11" s="5">
        <f t="shared" si="12"/>
        <v>0</v>
      </c>
      <c r="O11" s="5">
        <f t="shared" si="12"/>
        <v>0</v>
      </c>
    </row>
    <row r="12">
      <c r="A12" s="12" t="s">
        <v>92</v>
      </c>
      <c r="B12" s="23">
        <f t="shared" si="1"/>
        <v>393.8</v>
      </c>
      <c r="C12" s="23">
        <f t="shared" si="2"/>
        <v>98.45</v>
      </c>
      <c r="D12" s="5">
        <f>'CC - Jan 24'!H16</f>
        <v>393.8</v>
      </c>
      <c r="E12" s="6">
        <v>0.0</v>
      </c>
      <c r="F12" s="6">
        <v>0.0</v>
      </c>
      <c r="G12" s="6">
        <v>0.0</v>
      </c>
      <c r="H12" s="5">
        <f t="shared" ref="H12:O12" si="13">0</f>
        <v>0</v>
      </c>
      <c r="I12" s="5">
        <f t="shared" si="13"/>
        <v>0</v>
      </c>
      <c r="J12" s="5">
        <f t="shared" si="13"/>
        <v>0</v>
      </c>
      <c r="K12" s="5">
        <f t="shared" si="13"/>
        <v>0</v>
      </c>
      <c r="L12" s="5">
        <f t="shared" si="13"/>
        <v>0</v>
      </c>
      <c r="M12" s="5">
        <f t="shared" si="13"/>
        <v>0</v>
      </c>
      <c r="N12" s="5">
        <f t="shared" si="13"/>
        <v>0</v>
      </c>
      <c r="O12" s="5">
        <f t="shared" si="13"/>
        <v>0</v>
      </c>
    </row>
    <row r="13">
      <c r="A13" s="12" t="s">
        <v>93</v>
      </c>
      <c r="B13" s="23">
        <f t="shared" si="1"/>
        <v>5803.32</v>
      </c>
      <c r="C13" s="23">
        <f t="shared" si="2"/>
        <v>111.0425</v>
      </c>
      <c r="D13" s="5">
        <f>'CC - Jan 24'!H17</f>
        <v>236.16</v>
      </c>
      <c r="E13" s="5">
        <f>'CC - Feb 24'!H13</f>
        <v>90.95</v>
      </c>
      <c r="F13" s="5">
        <f>'CC - Mar 24'!H14</f>
        <v>0</v>
      </c>
      <c r="G13" s="5">
        <f>'CC - Apr 24'!H14</f>
        <v>117.06</v>
      </c>
      <c r="H13" s="5">
        <f>'CC - May 24'!H14</f>
        <v>4301.46</v>
      </c>
      <c r="I13" s="5">
        <f>'CC - Jun 24'!H14</f>
        <v>64.12</v>
      </c>
      <c r="J13" s="5">
        <f>'CC - Jul 24'!H15</f>
        <v>527.75</v>
      </c>
      <c r="K13" s="5">
        <f>'CC - Aug 23'!H14</f>
        <v>164.95</v>
      </c>
      <c r="L13" s="5">
        <f>'CC - Sep 23'!H13</f>
        <v>300.87</v>
      </c>
      <c r="M13" s="5">
        <f>'CC - Oct 23'!H15</f>
        <v>0</v>
      </c>
      <c r="N13" s="5">
        <f>'CC - Nov 23'!J13</f>
        <v>0</v>
      </c>
      <c r="O13" s="5">
        <f>'CC - Dec 23'!J11</f>
        <v>0</v>
      </c>
    </row>
    <row r="14">
      <c r="A14" s="12" t="s">
        <v>94</v>
      </c>
      <c r="B14" s="23">
        <f t="shared" si="1"/>
        <v>2329.54</v>
      </c>
      <c r="C14" s="23">
        <f t="shared" si="2"/>
        <v>278.4</v>
      </c>
      <c r="D14" s="5">
        <f>'CC - Jan 24'!H18</f>
        <v>907.22</v>
      </c>
      <c r="E14" s="5">
        <f>'CC - Feb 24'!H14</f>
        <v>54.19</v>
      </c>
      <c r="F14" s="5">
        <f>'CC - Mar 24'!H15</f>
        <v>103.96</v>
      </c>
      <c r="G14" s="5">
        <f>'CC - Apr 24'!H15</f>
        <v>48.23</v>
      </c>
      <c r="H14" s="5">
        <f>'CC - May 24'!H15</f>
        <v>433.55</v>
      </c>
      <c r="I14" s="5">
        <f>'CC - Jun 24'!H15</f>
        <v>370.64</v>
      </c>
      <c r="J14" s="5">
        <f>'CC - Jul 24'!H16</f>
        <v>90.39</v>
      </c>
      <c r="K14" s="5">
        <f>'CC - Aug 23'!H15</f>
        <v>305.56</v>
      </c>
      <c r="L14" s="5">
        <f>'CC - Sep 23'!H14</f>
        <v>15.8</v>
      </c>
      <c r="M14" s="5">
        <f>0</f>
        <v>0</v>
      </c>
      <c r="N14" s="5">
        <f>'CC - Nov 23'!J14</f>
        <v>0</v>
      </c>
      <c r="O14" s="5">
        <f>'CC - Dec 23'!J12</f>
        <v>0</v>
      </c>
    </row>
    <row r="15">
      <c r="A15" s="12" t="s">
        <v>95</v>
      </c>
      <c r="B15" s="23">
        <f t="shared" si="1"/>
        <v>7315.81</v>
      </c>
      <c r="C15" s="23">
        <f t="shared" si="2"/>
        <v>272.0475</v>
      </c>
      <c r="D15" s="5">
        <f>'CC - Jan 24'!H16</f>
        <v>393.8</v>
      </c>
      <c r="E15" s="5">
        <f>'CC - Feb 24'!H12</f>
        <v>127.96</v>
      </c>
      <c r="F15" s="5">
        <f>'CC - Mar 24'!H12</f>
        <v>173.74</v>
      </c>
      <c r="G15" s="5">
        <f>'CC - Apr 24'!H13</f>
        <v>392.69</v>
      </c>
      <c r="H15" s="5">
        <f>'CC - May 24'!H16</f>
        <v>90.39</v>
      </c>
      <c r="I15" s="5">
        <f>'CC - Jun 24'!H16</f>
        <v>335.24</v>
      </c>
      <c r="J15" s="5">
        <f>'CC - Jul 24'!H17</f>
        <v>195.5</v>
      </c>
      <c r="K15" s="5">
        <f>'CC - Aug 23'!H16</f>
        <v>3423.58</v>
      </c>
      <c r="L15" s="5">
        <f>'CC - Sep 23'!H15</f>
        <v>2182.91</v>
      </c>
      <c r="M15" s="5">
        <f>'CC - Oct 23'!H16</f>
        <v>0</v>
      </c>
      <c r="N15" s="5">
        <f>'CC - Nov 23'!J15</f>
        <v>0</v>
      </c>
      <c r="O15" s="5">
        <f>'CC - Dec 23'!J13</f>
        <v>0</v>
      </c>
    </row>
    <row r="16">
      <c r="A16" s="12" t="s">
        <v>96</v>
      </c>
      <c r="B16" s="23">
        <f t="shared" si="1"/>
        <v>580.45</v>
      </c>
      <c r="C16" s="23">
        <f t="shared" si="2"/>
        <v>58.48</v>
      </c>
      <c r="D16" s="5">
        <f>'CC - Jan 24'!H20</f>
        <v>99.44</v>
      </c>
      <c r="E16" s="5">
        <f>'CC - Feb 24'!H16</f>
        <v>134.48</v>
      </c>
      <c r="F16" s="6">
        <v>0.0</v>
      </c>
      <c r="G16" s="6">
        <v>0.0</v>
      </c>
      <c r="H16" s="5">
        <f>'CC - May 24'!H17</f>
        <v>169.17</v>
      </c>
      <c r="I16" s="5">
        <f>'CC - Jun 24'!H17</f>
        <v>116.06</v>
      </c>
      <c r="J16" s="5">
        <f>'CC - Jul 24'!H18</f>
        <v>8.99</v>
      </c>
      <c r="K16" s="6">
        <v>0.0</v>
      </c>
      <c r="L16" s="5">
        <f>'CC - Sep 23'!H16</f>
        <v>52.31</v>
      </c>
      <c r="M16" s="5">
        <f>0</f>
        <v>0</v>
      </c>
      <c r="N16" s="5">
        <f>'CC - Nov 23'!J16</f>
        <v>0</v>
      </c>
      <c r="O16" s="5">
        <f>'CC - Dec 23'!J14</f>
        <v>0</v>
      </c>
    </row>
    <row r="17">
      <c r="A17" s="11" t="s">
        <v>97</v>
      </c>
      <c r="B17" s="23">
        <f t="shared" si="1"/>
        <v>3469.48</v>
      </c>
      <c r="C17" s="23">
        <f t="shared" si="2"/>
        <v>54.525</v>
      </c>
      <c r="D17" s="6">
        <v>0.0</v>
      </c>
      <c r="E17" s="6">
        <v>0.0</v>
      </c>
      <c r="F17" s="6">
        <v>0.0</v>
      </c>
      <c r="G17" s="5">
        <f>'CC - Apr 24'!H17</f>
        <v>218.1</v>
      </c>
      <c r="H17" s="5">
        <f>'CC - May 24'!H18</f>
        <v>8.99</v>
      </c>
      <c r="I17" s="5">
        <f>'CC - Jun 24'!H18</f>
        <v>68.02</v>
      </c>
      <c r="J17" s="5">
        <f>0</f>
        <v>0</v>
      </c>
      <c r="K17" s="5">
        <f>'CC - Aug 23'!H17</f>
        <v>3174.37</v>
      </c>
      <c r="L17" s="5">
        <f t="shared" ref="L17:N17" si="14">0</f>
        <v>0</v>
      </c>
      <c r="M17" s="5">
        <f t="shared" si="14"/>
        <v>0</v>
      </c>
      <c r="N17" s="5">
        <f t="shared" si="14"/>
        <v>0</v>
      </c>
      <c r="O17" s="5">
        <f>'CC - Dec 23'!J15</f>
        <v>0</v>
      </c>
    </row>
    <row r="18">
      <c r="A18" s="12" t="s">
        <v>98</v>
      </c>
      <c r="B18" s="23">
        <f t="shared" si="1"/>
        <v>602.48</v>
      </c>
      <c r="C18" s="23">
        <f t="shared" si="2"/>
        <v>66.4825</v>
      </c>
      <c r="D18" s="5">
        <f>'CC - Jan 24'!H21</f>
        <v>151.43</v>
      </c>
      <c r="E18" s="5">
        <f>'CC - Feb 24'!H17</f>
        <v>8.99</v>
      </c>
      <c r="F18" s="5">
        <f>'CC - Mar 24'!H17</f>
        <v>87.53</v>
      </c>
      <c r="G18" s="5">
        <f>'CC - Apr 24'!H18</f>
        <v>17.98</v>
      </c>
      <c r="H18" s="6">
        <v>0.0</v>
      </c>
      <c r="I18" s="5">
        <f>'CC - Jun 24'!H19</f>
        <v>90.39</v>
      </c>
      <c r="J18" s="5">
        <f>'CC - Jul 24'!H19</f>
        <v>10</v>
      </c>
      <c r="K18" s="5">
        <f>'CC - Aug 23'!H18</f>
        <v>90.39</v>
      </c>
      <c r="L18" s="5">
        <f>'CC - Sep 23'!H17</f>
        <v>145.77</v>
      </c>
      <c r="M18" s="5">
        <f>'CC - Oct 23'!H17</f>
        <v>0</v>
      </c>
      <c r="N18" s="5">
        <f>'CC - Nov 23'!J17</f>
        <v>0</v>
      </c>
      <c r="O18" s="5">
        <f>'CC - Dec 23'!J16</f>
        <v>0</v>
      </c>
    </row>
    <row r="19">
      <c r="A19" s="11" t="s">
        <v>99</v>
      </c>
      <c r="B19" s="23">
        <f t="shared" si="1"/>
        <v>1038.93</v>
      </c>
      <c r="C19" s="23">
        <f t="shared" si="2"/>
        <v>124.475</v>
      </c>
      <c r="D19" s="6">
        <f>'CC - Jan 24'!H20</f>
        <v>99.44</v>
      </c>
      <c r="E19" s="6">
        <f>'CC - Feb 24'!H15</f>
        <v>103.96</v>
      </c>
      <c r="F19" s="5">
        <f>'CC - Mar 24'!H15</f>
        <v>103.96</v>
      </c>
      <c r="G19" s="6">
        <f>'CC - Apr 24'!H16</f>
        <v>190.54</v>
      </c>
      <c r="H19" s="5">
        <f>'CC - May 24'!H19</f>
        <v>4.2</v>
      </c>
      <c r="I19" s="6">
        <v>0.0</v>
      </c>
      <c r="J19" s="5">
        <f>0</f>
        <v>0</v>
      </c>
      <c r="K19" s="5">
        <f>'CC - Aug 23'!H19</f>
        <v>127.7</v>
      </c>
      <c r="L19" s="5">
        <f>'CC - Sep 23'!H18</f>
        <v>409.13</v>
      </c>
      <c r="M19" s="5">
        <f>'CC - Oct 23'!H18</f>
        <v>0</v>
      </c>
      <c r="N19" s="5">
        <f>'CC - Nov 23'!J18</f>
        <v>0</v>
      </c>
      <c r="O19" s="5">
        <f>'CC - Dec 23'!J17</f>
        <v>0</v>
      </c>
    </row>
    <row r="20">
      <c r="A20" s="12" t="s">
        <v>100</v>
      </c>
      <c r="B20" s="23">
        <f t="shared" si="1"/>
        <v>-15660.67</v>
      </c>
      <c r="C20" s="23">
        <f t="shared" si="2"/>
        <v>160.7525</v>
      </c>
      <c r="D20" s="5">
        <f>'CC - Jan 24'!H21</f>
        <v>151.43</v>
      </c>
      <c r="E20" s="5">
        <f>'CC - Feb 24'!H16</f>
        <v>134.48</v>
      </c>
      <c r="F20" s="5">
        <f>'CC - Mar 24'!H16</f>
        <v>139</v>
      </c>
      <c r="G20" s="5">
        <f>'CC - Apr 24'!H17</f>
        <v>218.1</v>
      </c>
      <c r="H20" s="5">
        <f>'CC - May 24'!H20</f>
        <v>-3290.12</v>
      </c>
      <c r="I20" s="6">
        <v>0.0</v>
      </c>
      <c r="J20" s="5">
        <f>'CC - Jul 24'!H20</f>
        <v>-13066.61</v>
      </c>
      <c r="K20" s="5">
        <f>'CC - Aug 23'!H20</f>
        <v>36.11</v>
      </c>
      <c r="L20" s="5">
        <f>'CC - Sep 23'!H19</f>
        <v>16.94</v>
      </c>
      <c r="M20" s="5">
        <f>'CC - Oct 23'!H19</f>
        <v>0</v>
      </c>
      <c r="N20" s="5">
        <f>'CC - Nov 23'!J19</f>
        <v>0</v>
      </c>
      <c r="O20" s="5">
        <f>'CC - Dec 23'!J18</f>
        <v>0</v>
      </c>
    </row>
    <row r="21">
      <c r="A21" s="12" t="s">
        <v>101</v>
      </c>
      <c r="B21" s="23">
        <f t="shared" si="1"/>
        <v>2733.13</v>
      </c>
      <c r="C21" s="23">
        <f t="shared" si="2"/>
        <v>474.0775</v>
      </c>
      <c r="D21" s="5">
        <f>'CC - Jan 24'!H23</f>
        <v>136.41</v>
      </c>
      <c r="E21" s="6">
        <v>0.0</v>
      </c>
      <c r="F21" s="6">
        <v>0.0</v>
      </c>
      <c r="G21" s="5">
        <f>'CC - Apr 24'!H20</f>
        <v>1759.9</v>
      </c>
      <c r="H21" s="6">
        <v>0.0</v>
      </c>
      <c r="I21" s="6">
        <v>0.0</v>
      </c>
      <c r="J21" s="5">
        <f>'CC - Jul 24'!H21</f>
        <v>822.53</v>
      </c>
      <c r="K21" s="5">
        <f>'CC - Aug 23'!H21</f>
        <v>3</v>
      </c>
      <c r="L21" s="5">
        <f>'CC - Sep 23'!H20</f>
        <v>11.29</v>
      </c>
      <c r="M21" s="5">
        <f>'CC - Oct 23'!H20</f>
        <v>0</v>
      </c>
      <c r="N21" s="5">
        <f>'CC - Nov 23'!J20</f>
        <v>0</v>
      </c>
      <c r="O21" s="5">
        <f>'CC - Dec 23'!J19</f>
        <v>0</v>
      </c>
    </row>
    <row r="22">
      <c r="A22" s="11" t="s">
        <v>102</v>
      </c>
      <c r="B22" s="23">
        <f t="shared" si="1"/>
        <v>353.38</v>
      </c>
      <c r="C22" s="23">
        <f t="shared" si="2"/>
        <v>7.9</v>
      </c>
      <c r="D22" s="6">
        <v>0.0</v>
      </c>
      <c r="E22" s="5">
        <f>'CC - Feb 24'!H21</f>
        <v>31.6</v>
      </c>
      <c r="F22" s="6">
        <v>0.0</v>
      </c>
      <c r="G22" s="6">
        <v>0.0</v>
      </c>
      <c r="H22" s="5">
        <f>'CC - May 24'!H22</f>
        <v>51.92</v>
      </c>
      <c r="I22" s="6">
        <v>0.0</v>
      </c>
      <c r="J22" s="5">
        <f>'CC - Jul 24'!H23</f>
        <v>269.86</v>
      </c>
      <c r="K22" s="5">
        <f t="shared" ref="K22:L22" si="15">0</f>
        <v>0</v>
      </c>
      <c r="L22" s="5">
        <f t="shared" si="15"/>
        <v>0</v>
      </c>
      <c r="M22" s="5">
        <f>'CC - Oct 23'!H21</f>
        <v>0</v>
      </c>
      <c r="N22" s="5">
        <f t="shared" ref="N22:O22" si="16">0</f>
        <v>0</v>
      </c>
      <c r="O22" s="5">
        <f t="shared" si="16"/>
        <v>0</v>
      </c>
    </row>
    <row r="23">
      <c r="A23" s="11" t="s">
        <v>103</v>
      </c>
      <c r="B23" s="23">
        <f t="shared" si="1"/>
        <v>3535.94</v>
      </c>
      <c r="C23" s="23">
        <f t="shared" si="2"/>
        <v>1474.4425</v>
      </c>
      <c r="D23" s="6">
        <f>'CC - Jan 24'!H25</f>
        <v>506.24</v>
      </c>
      <c r="E23" s="6">
        <f>'CC - Feb 24'!H20</f>
        <v>3207.25</v>
      </c>
      <c r="F23" s="6">
        <f>'CC - Mar 24'!H20</f>
        <v>424.38</v>
      </c>
      <c r="G23" s="6">
        <f>'CC - Apr 24'!H20</f>
        <v>1759.9</v>
      </c>
      <c r="H23" s="5">
        <f>'CC - May 24'!H21</f>
        <v>676.3</v>
      </c>
      <c r="I23" s="5">
        <f>'CC - Jun 24'!H20</f>
        <v>229.4</v>
      </c>
      <c r="J23" s="5">
        <f>'CC - Jul 24'!H22</f>
        <v>91.45</v>
      </c>
      <c r="K23" s="5">
        <f>'CC - Aug 23'!H22</f>
        <v>-3408.98</v>
      </c>
      <c r="L23" s="5">
        <f>'CC - Sep 23'!H21</f>
        <v>50</v>
      </c>
      <c r="M23" s="5">
        <f t="shared" ref="M23:O23" si="17">0</f>
        <v>0</v>
      </c>
      <c r="N23" s="5">
        <f t="shared" si="17"/>
        <v>0</v>
      </c>
      <c r="O23" s="5">
        <f t="shared" si="17"/>
        <v>0</v>
      </c>
    </row>
    <row r="24">
      <c r="A24" s="11" t="s">
        <v>104</v>
      </c>
      <c r="B24" s="23">
        <f t="shared" si="1"/>
        <v>769.22</v>
      </c>
      <c r="C24" s="23">
        <f t="shared" si="2"/>
        <v>48.9325</v>
      </c>
      <c r="D24" s="5">
        <f>'CC - Jan 24'!H26</f>
        <v>62.55</v>
      </c>
      <c r="E24" s="5">
        <f>'CC - Feb 24'!H21</f>
        <v>31.6</v>
      </c>
      <c r="F24" s="5">
        <f>'CC - Mar 24'!H21</f>
        <v>50.79</v>
      </c>
      <c r="G24" s="5">
        <f>'CC - Apr 24'!H21</f>
        <v>50.79</v>
      </c>
      <c r="H24" s="5">
        <f>'CC - May 24'!H24</f>
        <v>93.72</v>
      </c>
      <c r="I24" s="5">
        <f>'CC - Jun 24'!H22</f>
        <v>124</v>
      </c>
      <c r="J24" s="5">
        <f>'CC - Jul 24'!H25</f>
        <v>100.14</v>
      </c>
      <c r="K24" s="5">
        <f>'CC - Aug 23'!H24</f>
        <v>16.94</v>
      </c>
      <c r="L24" s="5">
        <f>'CC - Sep 23'!H23</f>
        <v>238.69</v>
      </c>
      <c r="M24" s="5">
        <f>'CC - Oct 23'!H23</f>
        <v>0</v>
      </c>
      <c r="N24" s="5">
        <f>'CC - Nov 23'!J22</f>
        <v>0</v>
      </c>
      <c r="O24" s="5">
        <f>'CC - Dec 23'!J21</f>
        <v>0</v>
      </c>
    </row>
    <row r="25">
      <c r="A25" s="12" t="s">
        <v>105</v>
      </c>
      <c r="B25" s="23">
        <f t="shared" si="1"/>
        <v>-7847.24</v>
      </c>
      <c r="C25" s="23">
        <f t="shared" si="2"/>
        <v>312.63</v>
      </c>
      <c r="D25" s="5">
        <f>'CC - Jan 24'!H27</f>
        <v>258.51</v>
      </c>
      <c r="E25" s="5">
        <f>'CC - Feb 24'!H22</f>
        <v>295.45</v>
      </c>
      <c r="F25" s="5">
        <f>'CC - Mar 24'!H22</f>
        <v>295.54</v>
      </c>
      <c r="G25" s="5">
        <f>'CC - Apr 24'!H22</f>
        <v>401.02</v>
      </c>
      <c r="H25" s="5">
        <f>'CC - May 24'!H25</f>
        <v>4394.9</v>
      </c>
      <c r="I25" s="5">
        <f>'CC - Jun 24'!H23</f>
        <v>-9606.07</v>
      </c>
      <c r="J25" s="5">
        <f>'CC - Jul 24'!H26</f>
        <v>-9420.74</v>
      </c>
      <c r="K25" s="5">
        <f>'CC - Aug 23'!H26</f>
        <v>286.38</v>
      </c>
      <c r="L25" s="5">
        <f>'CC - Sep 23'!H25</f>
        <v>5247.77</v>
      </c>
      <c r="M25" s="5">
        <f>'CC - Oct 23'!H24</f>
        <v>0</v>
      </c>
      <c r="N25" s="5">
        <f>'CC - Nov 23'!J24</f>
        <v>0</v>
      </c>
      <c r="O25" s="5">
        <f>'CC - Dec 23'!J23</f>
        <v>0</v>
      </c>
    </row>
    <row r="26">
      <c r="A26" s="12" t="s">
        <v>106</v>
      </c>
      <c r="B26" s="23">
        <f t="shared" si="1"/>
        <v>4254.09</v>
      </c>
      <c r="C26" s="23">
        <f t="shared" si="2"/>
        <v>75.5325</v>
      </c>
      <c r="D26" s="5">
        <f>'CC - Jan 24'!H28</f>
        <v>33.88</v>
      </c>
      <c r="E26" s="5">
        <f>'CC - Feb 24'!H23</f>
        <v>64.82</v>
      </c>
      <c r="F26" s="5">
        <f>'CC - Mar 24'!H23</f>
        <v>157.8</v>
      </c>
      <c r="G26" s="5">
        <f>'CC - Apr 24'!H23</f>
        <v>45.63</v>
      </c>
      <c r="H26" s="5" t="str">
        <f>'CC - May 24'!H26</f>
        <v/>
      </c>
      <c r="I26" s="5">
        <f>'CC - Jun 24'!H24</f>
        <v>3828.7</v>
      </c>
      <c r="J26" s="5" t="str">
        <f>'CC - Jul 24'!H27</f>
        <v/>
      </c>
      <c r="K26" s="5">
        <f>'CC - Aug 23'!H27</f>
        <v>123.26</v>
      </c>
      <c r="L26" s="5" t="str">
        <f>'CC - Sep 23'!H26</f>
        <v/>
      </c>
      <c r="M26" s="5">
        <f>'CC - Oct 23'!H25</f>
        <v>0</v>
      </c>
      <c r="N26" s="5">
        <f>'CC - Nov 23'!J25</f>
        <v>0</v>
      </c>
      <c r="O26" s="5">
        <f>'CC - Dec 23'!J24</f>
        <v>0</v>
      </c>
    </row>
    <row r="27">
      <c r="A27" s="12" t="s">
        <v>107</v>
      </c>
      <c r="B27" s="23">
        <f t="shared" si="1"/>
        <v>7493.72</v>
      </c>
      <c r="C27" s="23">
        <f t="shared" si="2"/>
        <v>239.58</v>
      </c>
      <c r="D27" s="5">
        <f>'CC - Jan 24'!H29</f>
        <v>135.43</v>
      </c>
      <c r="E27" s="5">
        <f>'CC - Feb 24'!H24</f>
        <v>297.06</v>
      </c>
      <c r="F27" s="5">
        <f>'CC - Mar 24'!H24</f>
        <v>118.65</v>
      </c>
      <c r="G27" s="5">
        <f>'CC - Apr 24'!H24</f>
        <v>407.18</v>
      </c>
      <c r="H27" s="5" t="str">
        <f>'CC - May 24'!H27</f>
        <v/>
      </c>
      <c r="I27" s="5">
        <f>'CC - Jun 24'!H25</f>
        <v>76.77</v>
      </c>
      <c r="J27" s="5" t="str">
        <f>'CC - Jul 24'!H28</f>
        <v/>
      </c>
      <c r="K27" s="5">
        <f>'CC - Aug 23'!H28</f>
        <v>6458.63</v>
      </c>
      <c r="L27" s="5" t="str">
        <f>'CC - Sep 23'!H27</f>
        <v/>
      </c>
      <c r="M27" s="5">
        <f>'CC - Oct 23'!H26</f>
        <v>0</v>
      </c>
      <c r="N27" s="5">
        <f>'CC - Nov 23'!J26</f>
        <v>0</v>
      </c>
      <c r="O27" s="5">
        <f>'CC - Dec 23'!J25</f>
        <v>0</v>
      </c>
    </row>
    <row r="29">
      <c r="C29" s="5">
        <f>SUM(C2:C27)</f>
        <v>4715.8325</v>
      </c>
    </row>
    <row r="30">
      <c r="A30" s="10" t="s">
        <v>16</v>
      </c>
      <c r="B30" s="5">
        <f>SUM(B2:B27)</f>
        <v>25490.28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5" t="s">
        <v>108</v>
      </c>
      <c r="B1" s="16" t="s">
        <v>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6"/>
      <c r="B2" s="25"/>
      <c r="C2" s="12"/>
      <c r="D2" s="25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5" t="s">
        <v>109</v>
      </c>
      <c r="B3" s="25"/>
      <c r="C3" s="12"/>
      <c r="D3" s="25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6" t="s">
        <v>110</v>
      </c>
      <c r="B4" s="26">
        <v>1843.01</v>
      </c>
      <c r="C4" s="27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16" t="s">
        <v>17</v>
      </c>
      <c r="B5" s="28">
        <f>2663.21*2</f>
        <v>5326.42</v>
      </c>
      <c r="C5" s="29">
        <f>B5/B7</f>
        <v>0.595122747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6" t="s">
        <v>23</v>
      </c>
      <c r="B6" s="28">
        <f>1811.85*2</f>
        <v>3623.7</v>
      </c>
      <c r="C6" s="29">
        <f>B6/B7</f>
        <v>0.404877253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6" t="s">
        <v>111</v>
      </c>
      <c r="B7" s="28">
        <f>SUM(B5:B6)</f>
        <v>8950.12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5" t="s">
        <v>112</v>
      </c>
      <c r="B9" s="12"/>
      <c r="C9" s="16" t="s">
        <v>17</v>
      </c>
      <c r="D9" s="16" t="s">
        <v>23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6" t="s">
        <v>113</v>
      </c>
      <c r="B10" s="28">
        <f>2400</f>
        <v>2400</v>
      </c>
      <c r="C10" s="28">
        <f>B10*C5</f>
        <v>1428.294593</v>
      </c>
      <c r="D10" s="28">
        <f>B10*C6</f>
        <v>971.7054073</v>
      </c>
      <c r="E10" s="11" t="s">
        <v>114</v>
      </c>
      <c r="F10" s="30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16" t="s">
        <v>115</v>
      </c>
      <c r="B11" s="28">
        <f>165.71</f>
        <v>165.71</v>
      </c>
      <c r="C11" s="28">
        <f>B11*C5</f>
        <v>98.6177904</v>
      </c>
      <c r="D11" s="28">
        <f>B11*C6</f>
        <v>67.0922096</v>
      </c>
      <c r="E11" s="11" t="s">
        <v>114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6" t="s">
        <v>116</v>
      </c>
      <c r="B12" s="28">
        <v>99.44</v>
      </c>
      <c r="C12" s="28">
        <f>B12*C5</f>
        <v>59.17900596</v>
      </c>
      <c r="D12" s="28">
        <f>B12*C6</f>
        <v>40.26099404</v>
      </c>
      <c r="E12" s="11" t="s">
        <v>114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6" t="s">
        <v>117</v>
      </c>
      <c r="B13" s="28">
        <v>81.46</v>
      </c>
      <c r="C13" s="28">
        <f>B13*C5</f>
        <v>48.47869897</v>
      </c>
      <c r="D13" s="28">
        <f>B13*C6</f>
        <v>32.98130103</v>
      </c>
      <c r="E13" s="11" t="s">
        <v>114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6" t="s">
        <v>118</v>
      </c>
      <c r="B14" s="28">
        <v>134.48</v>
      </c>
      <c r="C14" s="28">
        <f>B14*C5</f>
        <v>80.03210701</v>
      </c>
      <c r="D14" s="28">
        <f>B14*C6</f>
        <v>54.44789299</v>
      </c>
      <c r="E14" s="11" t="s">
        <v>114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6" t="s">
        <v>119</v>
      </c>
      <c r="B15" s="28">
        <f>179.36</f>
        <v>179.36</v>
      </c>
      <c r="C15" s="28">
        <f>B15*C5</f>
        <v>106.7412159</v>
      </c>
      <c r="D15" s="28">
        <f>B15*C6</f>
        <v>72.61878411</v>
      </c>
      <c r="E15" s="11" t="s">
        <v>114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6" t="s">
        <v>120</v>
      </c>
      <c r="B16" s="13">
        <v>154.66</v>
      </c>
      <c r="C16" s="28">
        <f>B16*C5</f>
        <v>92.04168404</v>
      </c>
      <c r="D16" s="28">
        <f>B16*C6</f>
        <v>62.61831596</v>
      </c>
      <c r="E16" s="11" t="s">
        <v>114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6"/>
      <c r="B17" s="20"/>
      <c r="C17" s="20"/>
      <c r="D17" s="2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6" t="s">
        <v>121</v>
      </c>
      <c r="B18" s="31">
        <f t="shared" ref="B18:D18" si="1">Sum(B10:B16)</f>
        <v>3215.11</v>
      </c>
      <c r="C18" s="31">
        <f t="shared" si="1"/>
        <v>1913.385095</v>
      </c>
      <c r="D18" s="31">
        <f t="shared" si="1"/>
        <v>1301.724905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6"/>
      <c r="B19" s="20"/>
      <c r="C19" s="20"/>
      <c r="D19" s="20"/>
      <c r="E19" s="16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5" t="s">
        <v>122</v>
      </c>
      <c r="B20" s="20"/>
      <c r="C20" s="20"/>
      <c r="D20" s="20"/>
      <c r="E20" s="16" t="s">
        <v>16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6" t="s">
        <v>123</v>
      </c>
      <c r="B21" s="31">
        <f>B7*0.25</f>
        <v>2237.53</v>
      </c>
      <c r="C21" s="31">
        <f>B21*C5</f>
        <v>1331.605</v>
      </c>
      <c r="D21" s="31">
        <f>B21*C6</f>
        <v>905.925</v>
      </c>
      <c r="E21" s="28">
        <f>SUM(C21:D21)</f>
        <v>2237.53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6" t="s">
        <v>124</v>
      </c>
      <c r="B23" s="31">
        <f t="shared" ref="B23:D23" si="2">B18+B21</f>
        <v>5452.64</v>
      </c>
      <c r="C23" s="31">
        <f t="shared" si="2"/>
        <v>3244.990095</v>
      </c>
      <c r="D23" s="31">
        <f t="shared" si="2"/>
        <v>2207.649905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6" t="s">
        <v>125</v>
      </c>
      <c r="B25" s="12"/>
      <c r="C25" s="28">
        <f>B5-C23</f>
        <v>2081.429905</v>
      </c>
      <c r="D25" s="28">
        <f>B6-D23</f>
        <v>1416.050095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32">
        <v>45306.0</v>
      </c>
      <c r="B26" s="12"/>
      <c r="C26" s="31">
        <f t="shared" ref="C26:D26" si="3">C25/2</f>
        <v>1040.714953</v>
      </c>
      <c r="D26" s="31">
        <f t="shared" si="3"/>
        <v>708.0250475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32">
        <v>45321.0</v>
      </c>
      <c r="B27" s="12"/>
      <c r="C27" s="31">
        <f t="shared" ref="C27:D27" si="4">C25/2</f>
        <v>1040.714953</v>
      </c>
      <c r="D27" s="31">
        <f t="shared" si="4"/>
        <v>708.0250475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33"/>
      <c r="B28" s="33"/>
      <c r="C28" s="33"/>
      <c r="D28" s="33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5" t="s">
        <v>126</v>
      </c>
      <c r="B30" s="11" t="s">
        <v>127</v>
      </c>
      <c r="C30" s="16" t="s">
        <v>128</v>
      </c>
      <c r="D30" s="11" t="s">
        <v>129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6" t="s">
        <v>130</v>
      </c>
      <c r="B31" s="20">
        <f>'CC - Jan 24'!F3</f>
        <v>4198.26</v>
      </c>
      <c r="C31" s="34">
        <f>'CC - Jan 24'!F4</f>
        <v>45336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6" t="s">
        <v>131</v>
      </c>
      <c r="B32" s="20">
        <f>'CC - Jan 24'!B3</f>
        <v>578.38</v>
      </c>
      <c r="C32" s="34">
        <f>'CC - Jan 24'!B4</f>
        <v>45336</v>
      </c>
      <c r="D32" s="11" t="s">
        <v>132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6" t="s">
        <v>133</v>
      </c>
      <c r="B33" s="20">
        <f>0</f>
        <v>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6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33"/>
      <c r="B35" s="33"/>
      <c r="C35" s="33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6"/>
      <c r="B36" s="16"/>
      <c r="C36" s="16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20"/>
      <c r="C37" s="20"/>
      <c r="D37" s="20"/>
      <c r="E37" s="20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6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6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</row>
    <row r="103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</row>
    <row r="103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</row>
    <row r="103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</row>
    <row r="103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</row>
    <row r="1034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</row>
    <row r="1035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</row>
  </sheetData>
  <dataValidations>
    <dataValidation type="list" allowBlank="1" showErrorMessage="1" sqref="D31:D33">
      <formula1>"Paid"</formula1>
    </dataValidation>
    <dataValidation type="list" allowBlank="1" showErrorMessage="1" sqref="E10:E16">
      <formula1>"PAID"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5" max="5" width="18.63"/>
    <col customWidth="1" min="9" max="9" width="11.25"/>
    <col customWidth="1" min="10" max="10" width="18.63"/>
  </cols>
  <sheetData>
    <row r="1">
      <c r="A1" s="35" t="s">
        <v>134</v>
      </c>
      <c r="D1" s="35" t="s">
        <v>135</v>
      </c>
      <c r="F1" s="12"/>
      <c r="G1" s="35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6" t="s">
        <v>136</v>
      </c>
      <c r="B2" s="37">
        <v>45314.0</v>
      </c>
      <c r="C2" s="36"/>
      <c r="D2" s="36" t="s">
        <v>136</v>
      </c>
      <c r="E2" s="18"/>
      <c r="F2" s="37">
        <v>45315.0</v>
      </c>
      <c r="G2" s="36"/>
      <c r="H2" s="18"/>
      <c r="I2" s="38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36" t="s">
        <v>137</v>
      </c>
      <c r="B3" s="26">
        <v>578.38</v>
      </c>
      <c r="C3" s="36"/>
      <c r="D3" s="36" t="s">
        <v>137</v>
      </c>
      <c r="E3" s="18"/>
      <c r="F3" s="26">
        <v>4198.26</v>
      </c>
      <c r="G3" s="36"/>
      <c r="H3" s="18"/>
      <c r="I3" s="28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36" t="s">
        <v>138</v>
      </c>
      <c r="B4" s="39">
        <v>45336.0</v>
      </c>
      <c r="C4" s="36"/>
      <c r="D4" s="36" t="s">
        <v>138</v>
      </c>
      <c r="E4" s="18"/>
      <c r="F4" s="39">
        <v>45336.0</v>
      </c>
      <c r="G4" s="36"/>
      <c r="H4" s="18"/>
      <c r="I4" s="40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2"/>
      <c r="C5" s="18"/>
      <c r="D5" s="1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2" t="s">
        <v>139</v>
      </c>
      <c r="C6" s="19" t="s">
        <v>140</v>
      </c>
      <c r="D6" s="18" t="s">
        <v>141</v>
      </c>
      <c r="E6" s="12" t="s">
        <v>67</v>
      </c>
      <c r="F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2" t="s">
        <v>143</v>
      </c>
      <c r="C7" s="41">
        <v>45283.0</v>
      </c>
      <c r="D7" s="17">
        <v>90.98</v>
      </c>
      <c r="E7" s="42" t="s">
        <v>98</v>
      </c>
      <c r="F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2" t="s">
        <v>144</v>
      </c>
      <c r="C8" s="41">
        <v>45285.0</v>
      </c>
      <c r="D8" s="17">
        <v>62.25</v>
      </c>
      <c r="E8" s="42" t="s">
        <v>93</v>
      </c>
      <c r="F8" s="4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 t="s">
        <v>145</v>
      </c>
      <c r="C9" s="41">
        <v>45285.0</v>
      </c>
      <c r="D9" s="17">
        <v>151.43</v>
      </c>
      <c r="E9" s="42" t="s">
        <v>100</v>
      </c>
      <c r="F9" s="43"/>
      <c r="I9" s="12"/>
      <c r="J9" s="11"/>
      <c r="K9" s="44"/>
      <c r="L9" s="4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 t="s">
        <v>146</v>
      </c>
      <c r="C10" s="41">
        <v>45286.0</v>
      </c>
      <c r="D10" s="17">
        <v>13.56</v>
      </c>
      <c r="E10" s="42" t="s">
        <v>96</v>
      </c>
      <c r="F10" s="4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2" t="s">
        <v>147</v>
      </c>
      <c r="C11" s="41">
        <v>45287.0</v>
      </c>
      <c r="D11" s="17">
        <v>99.44</v>
      </c>
      <c r="E11" s="42" t="s">
        <v>99</v>
      </c>
      <c r="F11" s="4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 t="s">
        <v>148</v>
      </c>
      <c r="C12" s="41">
        <v>45287.0</v>
      </c>
      <c r="D12" s="17">
        <v>21.08</v>
      </c>
      <c r="E12" s="42" t="s">
        <v>88</v>
      </c>
      <c r="F12" s="4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2" t="s">
        <v>149</v>
      </c>
      <c r="C13" s="41">
        <v>45288.0</v>
      </c>
      <c r="D13" s="17">
        <v>136.12</v>
      </c>
      <c r="E13" s="42" t="s">
        <v>95</v>
      </c>
      <c r="F13" s="43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2" t="s">
        <v>150</v>
      </c>
      <c r="C14" s="41">
        <v>45288.0</v>
      </c>
      <c r="D14" s="17">
        <v>41.9</v>
      </c>
      <c r="E14" s="45" t="s">
        <v>82</v>
      </c>
      <c r="F14" s="4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 t="s">
        <v>151</v>
      </c>
      <c r="C15" s="41">
        <v>45289.0</v>
      </c>
      <c r="D15" s="17">
        <v>210.77</v>
      </c>
      <c r="E15" s="42" t="s">
        <v>96</v>
      </c>
      <c r="F15" s="4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 t="s">
        <v>152</v>
      </c>
      <c r="C16" s="41">
        <v>45289.0</v>
      </c>
      <c r="D16" s="17">
        <v>-3646.85</v>
      </c>
      <c r="E16" s="42" t="s">
        <v>153</v>
      </c>
      <c r="F16" s="4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2" t="s">
        <v>154</v>
      </c>
      <c r="C17" s="41">
        <v>45290.0</v>
      </c>
      <c r="D17" s="17">
        <v>54.12</v>
      </c>
      <c r="E17" s="42" t="s">
        <v>93</v>
      </c>
      <c r="F17" s="4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2" t="s">
        <v>155</v>
      </c>
      <c r="C18" s="41">
        <v>45291.0</v>
      </c>
      <c r="D18" s="17">
        <v>5.64</v>
      </c>
      <c r="E18" s="42" t="s">
        <v>104</v>
      </c>
      <c r="F18" s="4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 t="s">
        <v>150</v>
      </c>
      <c r="C19" s="41">
        <v>45291.0</v>
      </c>
      <c r="D19" s="17">
        <v>72.1</v>
      </c>
      <c r="E19" s="42" t="s">
        <v>82</v>
      </c>
      <c r="F19" s="4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 t="s">
        <v>157</v>
      </c>
      <c r="C20" s="41">
        <v>45291.0</v>
      </c>
      <c r="D20" s="17">
        <v>28.15</v>
      </c>
      <c r="E20" s="42" t="s">
        <v>95</v>
      </c>
      <c r="F20" s="4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 t="s">
        <v>158</v>
      </c>
      <c r="C21" s="41">
        <v>45291.0</v>
      </c>
      <c r="D21" s="17">
        <v>11.83</v>
      </c>
      <c r="E21" s="42" t="s">
        <v>96</v>
      </c>
      <c r="F21" s="4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 t="s">
        <v>159</v>
      </c>
      <c r="C22" s="46">
        <v>45293.0</v>
      </c>
      <c r="D22" s="17">
        <v>13.55</v>
      </c>
      <c r="E22" s="42" t="s">
        <v>98</v>
      </c>
      <c r="F22" s="4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 t="s">
        <v>160</v>
      </c>
      <c r="C23" s="46">
        <v>45293.0</v>
      </c>
      <c r="D23" s="17">
        <v>33.79</v>
      </c>
      <c r="E23" s="42" t="s">
        <v>98</v>
      </c>
      <c r="F23" s="4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 t="s">
        <v>161</v>
      </c>
      <c r="C24" s="46">
        <v>45293.0</v>
      </c>
      <c r="D24" s="17">
        <v>8.99</v>
      </c>
      <c r="E24" s="42" t="s">
        <v>101</v>
      </c>
      <c r="F24" s="4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 t="s">
        <v>162</v>
      </c>
      <c r="C25" s="46">
        <v>45293.0</v>
      </c>
      <c r="D25" s="17">
        <v>337.87</v>
      </c>
      <c r="E25" s="42" t="s">
        <v>86</v>
      </c>
      <c r="F25" s="4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 t="s">
        <v>163</v>
      </c>
      <c r="C26" s="46">
        <v>45293.0</v>
      </c>
      <c r="D26" s="17">
        <v>136.41</v>
      </c>
      <c r="E26" s="42" t="s">
        <v>102</v>
      </c>
      <c r="F26" s="4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2" t="s">
        <v>164</v>
      </c>
      <c r="C27" s="46">
        <v>45293.0</v>
      </c>
      <c r="D27" s="17">
        <v>13.31</v>
      </c>
      <c r="E27" s="42" t="s">
        <v>107</v>
      </c>
      <c r="F27" s="4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 t="s">
        <v>165</v>
      </c>
      <c r="C28" s="46">
        <v>45296.0</v>
      </c>
      <c r="D28" s="17">
        <v>901.44</v>
      </c>
      <c r="E28" s="42" t="s">
        <v>156</v>
      </c>
      <c r="F28" s="4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 t="s">
        <v>166</v>
      </c>
      <c r="C29" s="46">
        <v>45296.0</v>
      </c>
      <c r="D29" s="17">
        <v>233.52</v>
      </c>
      <c r="E29" s="42" t="s">
        <v>89</v>
      </c>
      <c r="F29" s="4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 t="s">
        <v>164</v>
      </c>
      <c r="C30" s="46">
        <v>45296.0</v>
      </c>
      <c r="D30" s="17">
        <v>3.0</v>
      </c>
      <c r="E30" s="42" t="s">
        <v>107</v>
      </c>
      <c r="F30" s="4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 t="s">
        <v>164</v>
      </c>
      <c r="C31" s="46">
        <v>45297.0</v>
      </c>
      <c r="D31" s="17">
        <v>31.79</v>
      </c>
      <c r="E31" s="42" t="s">
        <v>107</v>
      </c>
      <c r="F31" s="4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 t="s">
        <v>155</v>
      </c>
      <c r="C32" s="46">
        <v>45298.0</v>
      </c>
      <c r="D32" s="17">
        <v>10.16</v>
      </c>
      <c r="E32" s="42" t="s">
        <v>104</v>
      </c>
      <c r="F32" s="4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 t="s">
        <v>164</v>
      </c>
      <c r="C33" s="46">
        <v>45298.0</v>
      </c>
      <c r="D33" s="17">
        <v>27.05</v>
      </c>
      <c r="E33" s="42" t="s">
        <v>107</v>
      </c>
      <c r="F33" s="4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2" t="s">
        <v>164</v>
      </c>
      <c r="C34" s="46">
        <v>45298.0</v>
      </c>
      <c r="D34" s="17">
        <v>6.35</v>
      </c>
      <c r="E34" s="42" t="s">
        <v>107</v>
      </c>
      <c r="F34" s="4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 t="s">
        <v>168</v>
      </c>
      <c r="C35" s="46">
        <v>45299.0</v>
      </c>
      <c r="D35" s="17">
        <v>50.0</v>
      </c>
      <c r="E35" s="42" t="s">
        <v>85</v>
      </c>
      <c r="F35" s="4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 t="s">
        <v>165</v>
      </c>
      <c r="C36" s="46">
        <v>45299.0</v>
      </c>
      <c r="D36" s="17">
        <v>5.78</v>
      </c>
      <c r="E36" s="42" t="s">
        <v>156</v>
      </c>
      <c r="F36" s="4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 t="s">
        <v>164</v>
      </c>
      <c r="C37" s="46">
        <v>45299.0</v>
      </c>
      <c r="D37" s="17">
        <v>5.41</v>
      </c>
      <c r="E37" s="42" t="s">
        <v>107</v>
      </c>
      <c r="F37" s="4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 t="s">
        <v>164</v>
      </c>
      <c r="C38" s="46">
        <v>45299.0</v>
      </c>
      <c r="D38" s="17">
        <v>3.0</v>
      </c>
      <c r="E38" s="42" t="s">
        <v>107</v>
      </c>
      <c r="F38" s="4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 t="s">
        <v>164</v>
      </c>
      <c r="C39" s="46">
        <v>45299.0</v>
      </c>
      <c r="D39" s="17">
        <v>14.92</v>
      </c>
      <c r="E39" s="42" t="s">
        <v>107</v>
      </c>
      <c r="F39" s="4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 t="s">
        <v>164</v>
      </c>
      <c r="C40" s="46">
        <v>45300.0</v>
      </c>
      <c r="D40" s="17">
        <v>30.6</v>
      </c>
      <c r="E40" s="42" t="s">
        <v>107</v>
      </c>
      <c r="F40" s="4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 t="s">
        <v>169</v>
      </c>
      <c r="C41" s="46">
        <v>45301.0</v>
      </c>
      <c r="D41" s="17">
        <v>19.19</v>
      </c>
      <c r="E41" s="42" t="s">
        <v>98</v>
      </c>
      <c r="F41" s="4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 t="s">
        <v>170</v>
      </c>
      <c r="C42" s="46">
        <v>45301.0</v>
      </c>
      <c r="D42" s="17">
        <v>4.51</v>
      </c>
      <c r="E42" s="42" t="s">
        <v>104</v>
      </c>
      <c r="F42" s="4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 t="s">
        <v>170</v>
      </c>
      <c r="C43" s="46">
        <v>45301.0</v>
      </c>
      <c r="D43" s="17">
        <v>4.51</v>
      </c>
      <c r="E43" s="42" t="s">
        <v>104</v>
      </c>
      <c r="F43" s="4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 t="s">
        <v>170</v>
      </c>
      <c r="C44" s="46">
        <v>45302.0</v>
      </c>
      <c r="D44" s="17">
        <v>19.2</v>
      </c>
      <c r="E44" s="42" t="s">
        <v>106</v>
      </c>
      <c r="F44" s="4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 t="s">
        <v>157</v>
      </c>
      <c r="C45" s="46">
        <v>45302.0</v>
      </c>
      <c r="D45" s="17">
        <v>183.38</v>
      </c>
      <c r="E45" s="42" t="s">
        <v>95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 t="s">
        <v>171</v>
      </c>
      <c r="C46" s="46">
        <v>45304.0</v>
      </c>
      <c r="D46" s="17">
        <v>11.29</v>
      </c>
      <c r="E46" s="42" t="s">
        <v>104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 t="s">
        <v>143</v>
      </c>
      <c r="C47" s="46">
        <v>45305.0</v>
      </c>
      <c r="D47" s="17">
        <v>107.27</v>
      </c>
      <c r="E47" s="42" t="s">
        <v>98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 t="s">
        <v>172</v>
      </c>
      <c r="C48" s="46">
        <v>45305.0</v>
      </c>
      <c r="D48" s="17">
        <v>25.55</v>
      </c>
      <c r="E48" s="42" t="s">
        <v>105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 t="s">
        <v>173</v>
      </c>
      <c r="C49" s="46">
        <v>45305.0</v>
      </c>
      <c r="D49" s="17">
        <v>53.05</v>
      </c>
      <c r="E49" s="42" t="s">
        <v>93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 t="s">
        <v>155</v>
      </c>
      <c r="C50" s="46">
        <v>45306.0</v>
      </c>
      <c r="D50" s="17">
        <v>4.51</v>
      </c>
      <c r="E50" s="42" t="s">
        <v>104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 t="s">
        <v>174</v>
      </c>
      <c r="C51" s="46">
        <v>45306.0</v>
      </c>
      <c r="D51" s="17">
        <v>200.0</v>
      </c>
      <c r="E51" s="42" t="s">
        <v>85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1" t="s">
        <v>175</v>
      </c>
      <c r="C52" s="46">
        <v>45306.0</v>
      </c>
      <c r="D52" s="17">
        <v>18.03</v>
      </c>
      <c r="E52" s="42" t="s">
        <v>103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 t="s">
        <v>176</v>
      </c>
      <c r="C53" s="46">
        <v>45309.0</v>
      </c>
      <c r="D53" s="17">
        <v>22.28</v>
      </c>
      <c r="E53" s="42" t="s">
        <v>94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 t="s">
        <v>157</v>
      </c>
      <c r="C54" s="46">
        <v>45309.0</v>
      </c>
      <c r="D54" s="17">
        <v>15.48</v>
      </c>
      <c r="E54" s="42" t="s">
        <v>95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1" t="s">
        <v>175</v>
      </c>
      <c r="C55" s="46">
        <v>45309.0</v>
      </c>
      <c r="D55" s="17">
        <v>58.07</v>
      </c>
      <c r="E55" s="42" t="s">
        <v>103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 t="s">
        <v>177</v>
      </c>
      <c r="C56" s="46">
        <v>45309.0</v>
      </c>
      <c r="D56" s="17">
        <v>4.99</v>
      </c>
      <c r="E56" s="42" t="s">
        <v>104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 t="s">
        <v>178</v>
      </c>
      <c r="C57" s="46">
        <v>45311.0</v>
      </c>
      <c r="D57" s="17">
        <v>60.38</v>
      </c>
      <c r="E57" s="42" t="s">
        <v>93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 t="s">
        <v>179</v>
      </c>
      <c r="C58" s="46">
        <v>45312.0</v>
      </c>
      <c r="D58" s="17">
        <v>17.5</v>
      </c>
      <c r="E58" s="42" t="s">
        <v>105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 t="s">
        <v>170</v>
      </c>
      <c r="C59" s="46">
        <v>45313.0</v>
      </c>
      <c r="D59" s="17">
        <v>14.68</v>
      </c>
      <c r="E59" s="42" t="s">
        <v>106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 t="s">
        <v>180</v>
      </c>
      <c r="C60" s="46">
        <v>45313.0</v>
      </c>
      <c r="D60" s="17">
        <v>41.0</v>
      </c>
      <c r="E60" s="42" t="s">
        <v>105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1" t="s">
        <v>181</v>
      </c>
      <c r="C61" s="46">
        <v>45313.0</v>
      </c>
      <c r="D61" s="17">
        <v>296.81</v>
      </c>
      <c r="E61" s="42" t="s">
        <v>103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 t="s">
        <v>182</v>
      </c>
      <c r="C62" s="46">
        <v>45314.0</v>
      </c>
      <c r="D62" s="17">
        <v>133.33</v>
      </c>
      <c r="E62" s="42" t="s">
        <v>103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 t="s">
        <v>183</v>
      </c>
      <c r="C63" s="46">
        <v>45315.0</v>
      </c>
      <c r="D63" s="17">
        <v>16.94</v>
      </c>
      <c r="E63" s="42" t="s">
        <v>104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 t="s">
        <v>184</v>
      </c>
      <c r="C64" s="46">
        <v>45312.0</v>
      </c>
      <c r="D64" s="17">
        <v>4.08</v>
      </c>
      <c r="E64" s="42" t="s">
        <v>87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 t="s">
        <v>185</v>
      </c>
      <c r="C65" s="46">
        <v>45310.0</v>
      </c>
      <c r="D65" s="17">
        <v>131.65</v>
      </c>
      <c r="E65" s="42" t="s">
        <v>89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 t="s">
        <v>186</v>
      </c>
      <c r="C66" s="46">
        <v>45310.0</v>
      </c>
      <c r="D66" s="17">
        <v>10.2</v>
      </c>
      <c r="E66" s="42" t="s">
        <v>89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 t="s">
        <v>187</v>
      </c>
      <c r="C67" s="46">
        <v>45305.0</v>
      </c>
      <c r="D67" s="17">
        <v>14.69</v>
      </c>
      <c r="E67" s="45" t="s">
        <v>94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 t="s">
        <v>188</v>
      </c>
      <c r="C68" s="46">
        <v>45305.0</v>
      </c>
      <c r="D68" s="17">
        <v>45.08</v>
      </c>
      <c r="E68" s="42" t="s">
        <v>89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 t="s">
        <v>189</v>
      </c>
      <c r="C69" s="46">
        <v>45304.0</v>
      </c>
      <c r="D69" s="17">
        <v>15.7</v>
      </c>
      <c r="E69" s="42" t="s">
        <v>89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 t="s">
        <v>190</v>
      </c>
      <c r="C70" s="46">
        <v>45299.0</v>
      </c>
      <c r="D70" s="17">
        <v>27.97</v>
      </c>
      <c r="E70" s="42" t="s">
        <v>105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 t="s">
        <v>191</v>
      </c>
      <c r="C71" s="46">
        <v>45299.0</v>
      </c>
      <c r="D71" s="17">
        <v>30.83</v>
      </c>
      <c r="E71" s="42" t="s">
        <v>105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 t="s">
        <v>192</v>
      </c>
      <c r="C72" s="46">
        <v>45298.0</v>
      </c>
      <c r="D72" s="17">
        <v>25.32</v>
      </c>
      <c r="E72" s="42" t="s">
        <v>82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 t="s">
        <v>193</v>
      </c>
      <c r="C73" s="46">
        <v>45298.0</v>
      </c>
      <c r="D73" s="17">
        <v>39.68</v>
      </c>
      <c r="E73" s="42" t="s">
        <v>105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 t="s">
        <v>192</v>
      </c>
      <c r="C74" s="46">
        <v>45297.0</v>
      </c>
      <c r="D74" s="17">
        <v>23.75</v>
      </c>
      <c r="E74" s="42" t="s">
        <v>82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 t="s">
        <v>194</v>
      </c>
      <c r="C75" s="46">
        <v>45295.0</v>
      </c>
      <c r="D75" s="17">
        <v>-3.24</v>
      </c>
      <c r="E75" s="42" t="s">
        <v>153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 t="s">
        <v>195</v>
      </c>
      <c r="C76" s="46">
        <v>45293.0</v>
      </c>
      <c r="D76" s="17">
        <v>48.06</v>
      </c>
      <c r="E76" s="42" t="s">
        <v>105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 t="s">
        <v>196</v>
      </c>
      <c r="C77" s="41">
        <v>45290.0</v>
      </c>
      <c r="D77" s="17">
        <v>80.03</v>
      </c>
      <c r="E77" s="42" t="s">
        <v>83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 t="s">
        <v>197</v>
      </c>
      <c r="C78" s="41">
        <v>45288.0</v>
      </c>
      <c r="D78" s="17">
        <v>-937.36</v>
      </c>
      <c r="E78" s="42" t="s">
        <v>153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 t="s">
        <v>198</v>
      </c>
      <c r="C79" s="41">
        <v>45286.0</v>
      </c>
      <c r="D79" s="17">
        <v>30.67</v>
      </c>
      <c r="E79" s="42" t="s">
        <v>95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 t="s">
        <v>199</v>
      </c>
      <c r="C80" s="41">
        <v>45285.0</v>
      </c>
      <c r="D80" s="17">
        <v>27.92</v>
      </c>
      <c r="E80" s="42" t="s">
        <v>105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 t="s">
        <v>200</v>
      </c>
      <c r="C81" s="41">
        <v>45282.0</v>
      </c>
      <c r="D81" s="17">
        <v>26.0</v>
      </c>
      <c r="E81" s="42" t="s">
        <v>83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2"/>
      <c r="E1005" s="12"/>
      <c r="F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2"/>
      <c r="E1006" s="12"/>
      <c r="F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12"/>
      <c r="D1007" s="12"/>
      <c r="E1007" s="12"/>
      <c r="F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12"/>
      <c r="D1008" s="12"/>
      <c r="E1008" s="12"/>
      <c r="F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12"/>
      <c r="D1009" s="12"/>
      <c r="E1009" s="12"/>
      <c r="F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12"/>
      <c r="D1010" s="12"/>
      <c r="E1010" s="12"/>
      <c r="F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12"/>
      <c r="D1011" s="12"/>
      <c r="E1011" s="12"/>
      <c r="F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12"/>
      <c r="D1012" s="12"/>
      <c r="E1012" s="12"/>
      <c r="F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12"/>
      <c r="D1013" s="12"/>
      <c r="E1013" s="12"/>
      <c r="F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12"/>
      <c r="D1014" s="12"/>
      <c r="E1014" s="12"/>
      <c r="F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12"/>
      <c r="D1015" s="12"/>
      <c r="E1015" s="12"/>
      <c r="F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12"/>
      <c r="D1016" s="12"/>
      <c r="E1016" s="12"/>
      <c r="F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2"/>
      <c r="B1017" s="12"/>
      <c r="C1017" s="12"/>
      <c r="D1017" s="12"/>
      <c r="E1017" s="12"/>
      <c r="F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2"/>
      <c r="B1018" s="12"/>
      <c r="C1018" s="12"/>
      <c r="D1018" s="12"/>
      <c r="E1018" s="12"/>
      <c r="F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2"/>
      <c r="B1019" s="12"/>
      <c r="C1019" s="12"/>
      <c r="D1019" s="12"/>
      <c r="E1019" s="12"/>
      <c r="F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2"/>
      <c r="B1020" s="12"/>
      <c r="C1020" s="12"/>
      <c r="D1020" s="12"/>
      <c r="E1020" s="12"/>
      <c r="F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2"/>
      <c r="B1021" s="12"/>
      <c r="C1021" s="12"/>
      <c r="D1021" s="12"/>
      <c r="E1021" s="12"/>
      <c r="F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2"/>
      <c r="B1022" s="12"/>
      <c r="C1022" s="12"/>
      <c r="D1022" s="12"/>
      <c r="E1022" s="12"/>
      <c r="F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2"/>
      <c r="B1023" s="12"/>
      <c r="C1023" s="12"/>
      <c r="D1023" s="12"/>
      <c r="E1023" s="12"/>
      <c r="F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2"/>
      <c r="B1024" s="12"/>
      <c r="C1024" s="12"/>
      <c r="D1024" s="12"/>
      <c r="E1024" s="12"/>
      <c r="F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2"/>
      <c r="B1025" s="12"/>
      <c r="C1025" s="12"/>
      <c r="D1025" s="12"/>
      <c r="E1025" s="12"/>
      <c r="F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2"/>
      <c r="B1026" s="12"/>
      <c r="C1026" s="12"/>
      <c r="D1026" s="12"/>
      <c r="E1026" s="12"/>
      <c r="F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2"/>
      <c r="B1027" s="12"/>
      <c r="C1027" s="12"/>
      <c r="D1027" s="12"/>
      <c r="E1027" s="12"/>
      <c r="F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2"/>
      <c r="B1028" s="12"/>
      <c r="C1028" s="12"/>
      <c r="D1028" s="12"/>
      <c r="E1028" s="12"/>
      <c r="F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2"/>
      <c r="B1029" s="12"/>
      <c r="C1029" s="12"/>
      <c r="D1029" s="12"/>
      <c r="E1029" s="12"/>
      <c r="F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>
      <c r="A1030" s="12"/>
      <c r="B1030" s="12"/>
      <c r="C1030" s="12"/>
      <c r="D1030" s="12"/>
      <c r="E1030" s="12"/>
      <c r="F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>
      <c r="A1031" s="12"/>
      <c r="B1031" s="12"/>
      <c r="C1031" s="12"/>
      <c r="D1031" s="12"/>
      <c r="E1031" s="12"/>
      <c r="F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</sheetData>
  <mergeCells count="3">
    <mergeCell ref="A1:B1"/>
    <mergeCell ref="D1:E1"/>
    <mergeCell ref="G1:H1"/>
  </mergeCells>
  <dataValidations>
    <dataValidation type="list" allowBlank="1" sqref="E7:E81">
      <formula1>"PAYMENT,DINE IN,TAKEOUT,DELIVERY,COFFEE,GROCERIES,INTERNET,MOBILE,SUBSCRIPTIONS,HEALTH,CANNABIS,ALCOHOL,GAS,PARKING,NEWSPAPER,CLOTHES,TECHNOLOGY,FURNITURE,CHARITY,ENTERTAINMENT,HOTELS,TRANSPORTATION,HOUSEHOLD,GIFTS,FLIGHTS,PETS"</formula1>
    </dataValidation>
  </dataValidation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3" t="s">
        <v>108</v>
      </c>
      <c r="B1" s="10" t="s">
        <v>5</v>
      </c>
    </row>
    <row r="2">
      <c r="A2" s="3"/>
      <c r="B2" s="47"/>
      <c r="D2" s="47"/>
    </row>
    <row r="3">
      <c r="A3" s="3" t="s">
        <v>109</v>
      </c>
      <c r="B3" s="47"/>
      <c r="D3" s="47"/>
    </row>
    <row r="4">
      <c r="A4" s="10" t="s">
        <v>110</v>
      </c>
      <c r="B4" s="13">
        <v>924.67</v>
      </c>
      <c r="C4" s="48"/>
    </row>
    <row r="5">
      <c r="A5" s="10" t="s">
        <v>17</v>
      </c>
      <c r="B5" s="28">
        <f>2663.21*2</f>
        <v>5326.42</v>
      </c>
      <c r="C5" s="48">
        <f>B5/B7</f>
        <v>0.595122747</v>
      </c>
    </row>
    <row r="6">
      <c r="A6" s="10" t="s">
        <v>23</v>
      </c>
      <c r="B6" s="28">
        <f>1811.85*2</f>
        <v>3623.7</v>
      </c>
      <c r="C6" s="48">
        <f>B6/B7</f>
        <v>0.404877253</v>
      </c>
    </row>
    <row r="7">
      <c r="A7" s="10" t="s">
        <v>111</v>
      </c>
      <c r="B7" s="14">
        <f>SUM(B5:B6)</f>
        <v>8950.12</v>
      </c>
    </row>
    <row r="9">
      <c r="A9" s="3" t="s">
        <v>112</v>
      </c>
      <c r="C9" s="10" t="s">
        <v>17</v>
      </c>
      <c r="D9" s="10" t="s">
        <v>23</v>
      </c>
    </row>
    <row r="10">
      <c r="A10" s="10" t="s">
        <v>113</v>
      </c>
      <c r="B10" s="13">
        <f>2400</f>
        <v>2400</v>
      </c>
      <c r="C10" s="14">
        <f>B10*C5</f>
        <v>1428.294593</v>
      </c>
      <c r="D10" s="14">
        <f>B10*C6</f>
        <v>971.7054073</v>
      </c>
      <c r="E10" s="11" t="s">
        <v>114</v>
      </c>
    </row>
    <row r="11">
      <c r="A11" s="10" t="s">
        <v>115</v>
      </c>
      <c r="B11" s="13">
        <f>175.45</f>
        <v>175.45</v>
      </c>
      <c r="C11" s="14">
        <f>B11*C5</f>
        <v>104.414286</v>
      </c>
      <c r="D11" s="14">
        <f>B11*C6</f>
        <v>71.03571405</v>
      </c>
      <c r="E11" s="11" t="s">
        <v>114</v>
      </c>
    </row>
    <row r="12">
      <c r="A12" s="10" t="s">
        <v>116</v>
      </c>
      <c r="B12" s="13">
        <v>103.96</v>
      </c>
      <c r="C12" s="14">
        <f>B12*C5</f>
        <v>61.86896077</v>
      </c>
      <c r="D12" s="14">
        <f>B12*C6</f>
        <v>42.09103923</v>
      </c>
      <c r="E12" s="11" t="s">
        <v>114</v>
      </c>
    </row>
    <row r="13">
      <c r="A13" s="10" t="s">
        <v>117</v>
      </c>
      <c r="B13" s="13">
        <v>81.46</v>
      </c>
      <c r="C13" s="14">
        <f>B13*C5</f>
        <v>48.47869897</v>
      </c>
      <c r="D13" s="14">
        <f>B13*C6</f>
        <v>32.98130103</v>
      </c>
      <c r="E13" s="11" t="s">
        <v>114</v>
      </c>
    </row>
    <row r="14">
      <c r="A14" s="10" t="s">
        <v>118</v>
      </c>
      <c r="B14" s="13">
        <v>134.48</v>
      </c>
      <c r="C14" s="14">
        <f>B14*C5</f>
        <v>80.03210701</v>
      </c>
      <c r="D14" s="14">
        <f>B14*C6</f>
        <v>54.44789299</v>
      </c>
      <c r="E14" s="11" t="s">
        <v>114</v>
      </c>
    </row>
    <row r="15">
      <c r="A15" s="10" t="s">
        <v>119</v>
      </c>
      <c r="B15" s="13">
        <v>71.65</v>
      </c>
      <c r="C15" s="14">
        <f>B15*C5</f>
        <v>42.64054482</v>
      </c>
      <c r="D15" s="14">
        <f>B15*C6</f>
        <v>29.00945518</v>
      </c>
      <c r="E15" s="11" t="s">
        <v>114</v>
      </c>
    </row>
    <row r="16">
      <c r="A16" s="10" t="s">
        <v>120</v>
      </c>
      <c r="B16" s="13">
        <v>149.76</v>
      </c>
      <c r="C16" s="14">
        <f>B16*C5</f>
        <v>89.12558258</v>
      </c>
      <c r="D16" s="14">
        <f>B16*C6</f>
        <v>60.63441742</v>
      </c>
      <c r="E16" s="11" t="s">
        <v>114</v>
      </c>
    </row>
    <row r="17">
      <c r="A17" s="10"/>
      <c r="B17" s="14"/>
      <c r="C17" s="14"/>
      <c r="D17" s="14"/>
    </row>
    <row r="18">
      <c r="A18" s="10" t="s">
        <v>121</v>
      </c>
      <c r="B18" s="14">
        <f t="shared" ref="B18:D18" si="1">Sum(B10:B16)</f>
        <v>3116.76</v>
      </c>
      <c r="C18" s="14">
        <f t="shared" si="1"/>
        <v>1854.854773</v>
      </c>
      <c r="D18" s="14">
        <f t="shared" si="1"/>
        <v>1261.905227</v>
      </c>
    </row>
    <row r="19">
      <c r="A19" s="3"/>
      <c r="B19" s="13"/>
      <c r="C19" s="13"/>
      <c r="D19" s="14"/>
      <c r="E19" s="10"/>
    </row>
    <row r="20">
      <c r="A20" s="3" t="s">
        <v>122</v>
      </c>
      <c r="B20" s="13"/>
      <c r="C20" s="13"/>
      <c r="D20" s="14"/>
      <c r="E20" s="10" t="s">
        <v>16</v>
      </c>
    </row>
    <row r="21">
      <c r="A21" s="10" t="s">
        <v>123</v>
      </c>
      <c r="B21" s="14">
        <f>B7*0.25</f>
        <v>2237.53</v>
      </c>
      <c r="C21" s="14">
        <f>B21*C5</f>
        <v>1331.605</v>
      </c>
      <c r="D21" s="14">
        <f>B21*C6</f>
        <v>905.925</v>
      </c>
      <c r="E21" s="14">
        <f>SUM(C21:D21)</f>
        <v>2237.53</v>
      </c>
    </row>
    <row r="23">
      <c r="A23" s="10" t="s">
        <v>124</v>
      </c>
      <c r="B23" s="14">
        <f t="shared" ref="B23:D23" si="2">B18+B21</f>
        <v>5354.29</v>
      </c>
      <c r="C23" s="14">
        <f t="shared" si="2"/>
        <v>3186.459773</v>
      </c>
      <c r="D23" s="14">
        <f t="shared" si="2"/>
        <v>2167.830227</v>
      </c>
    </row>
    <row r="25">
      <c r="A25" s="10" t="s">
        <v>125</v>
      </c>
      <c r="C25" s="14">
        <f>B5-C23</f>
        <v>2139.960227</v>
      </c>
      <c r="D25" s="14">
        <f>B6-D23</f>
        <v>1455.869773</v>
      </c>
    </row>
    <row r="26">
      <c r="A26" s="47">
        <v>45337.0</v>
      </c>
      <c r="C26" s="13">
        <f t="shared" ref="C26:D26" si="3">C25/2</f>
        <v>1069.980114</v>
      </c>
      <c r="D26" s="14">
        <f t="shared" si="3"/>
        <v>727.9348864</v>
      </c>
    </row>
    <row r="27">
      <c r="A27" s="47">
        <v>45351.0</v>
      </c>
      <c r="C27" s="13">
        <f t="shared" ref="C27:D27" si="4">C25/2</f>
        <v>1069.980114</v>
      </c>
      <c r="D27" s="13">
        <f t="shared" si="4"/>
        <v>727.9348864</v>
      </c>
    </row>
    <row r="29">
      <c r="A29" s="49"/>
      <c r="B29" s="49"/>
      <c r="C29" s="49"/>
      <c r="D29" s="49"/>
    </row>
    <row r="30">
      <c r="A30" s="3" t="s">
        <v>126</v>
      </c>
      <c r="B30" s="10" t="s">
        <v>127</v>
      </c>
      <c r="C30" s="10" t="s">
        <v>128</v>
      </c>
    </row>
    <row r="31">
      <c r="A31" s="10" t="s">
        <v>130</v>
      </c>
      <c r="B31" s="13">
        <f>'CC - Feb 24'!F3</f>
        <v>6214.51</v>
      </c>
      <c r="C31" s="50">
        <f>'CC - Feb 24'!F4</f>
        <v>45368</v>
      </c>
      <c r="D31" s="11" t="s">
        <v>114</v>
      </c>
    </row>
    <row r="32">
      <c r="A32" s="10" t="s">
        <v>131</v>
      </c>
      <c r="B32" s="13">
        <f>'CC - Feb 24'!B3</f>
        <v>1890.06</v>
      </c>
      <c r="C32" s="50">
        <f>'CC - Feb 24'!B4</f>
        <v>45366</v>
      </c>
      <c r="D32" s="11" t="s">
        <v>114</v>
      </c>
    </row>
    <row r="33">
      <c r="A33" s="10" t="s">
        <v>133</v>
      </c>
      <c r="D33" s="12"/>
    </row>
    <row r="34">
      <c r="A34" s="10"/>
    </row>
    <row r="36">
      <c r="A36" s="51"/>
      <c r="B36" s="51"/>
      <c r="C36" s="51"/>
    </row>
    <row r="37">
      <c r="B37" s="14"/>
      <c r="C37" s="14"/>
      <c r="D37" s="14"/>
      <c r="E37" s="14"/>
    </row>
    <row r="38">
      <c r="A38" s="10"/>
    </row>
    <row r="39">
      <c r="A39" s="10"/>
    </row>
  </sheetData>
  <dataValidations>
    <dataValidation type="list" allowBlank="1" showErrorMessage="1" sqref="E10:E16 D31:D33">
      <formula1>"PAID"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1.25"/>
    <col customWidth="1" min="10" max="10" width="18.63"/>
  </cols>
  <sheetData>
    <row r="1">
      <c r="A1" s="35" t="s">
        <v>134</v>
      </c>
      <c r="D1" s="35" t="s">
        <v>135</v>
      </c>
      <c r="F1" s="12"/>
      <c r="G1" s="35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6" t="s">
        <v>136</v>
      </c>
      <c r="B2" s="37">
        <v>45346.0</v>
      </c>
      <c r="C2" s="36"/>
      <c r="D2" s="36" t="s">
        <v>136</v>
      </c>
      <c r="E2" s="18"/>
      <c r="F2" s="37">
        <v>45346.0</v>
      </c>
      <c r="G2" s="36"/>
      <c r="H2" s="18"/>
      <c r="I2" s="37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36" t="s">
        <v>137</v>
      </c>
      <c r="B3" s="26">
        <v>1890.06</v>
      </c>
      <c r="C3" s="36"/>
      <c r="D3" s="36" t="s">
        <v>137</v>
      </c>
      <c r="E3" s="18"/>
      <c r="F3" s="26">
        <f>6214.51</f>
        <v>6214.51</v>
      </c>
      <c r="G3" s="36"/>
      <c r="H3" s="18"/>
      <c r="I3" s="2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36" t="s">
        <v>138</v>
      </c>
      <c r="B4" s="39">
        <v>45366.0</v>
      </c>
      <c r="C4" s="36"/>
      <c r="D4" s="36" t="s">
        <v>138</v>
      </c>
      <c r="E4" s="18"/>
      <c r="F4" s="39">
        <v>45368.0</v>
      </c>
      <c r="G4" s="36"/>
      <c r="H4" s="18"/>
      <c r="I4" s="39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2"/>
      <c r="C5" s="18"/>
      <c r="D5" s="1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2" t="s">
        <v>139</v>
      </c>
      <c r="C6" s="19" t="s">
        <v>140</v>
      </c>
      <c r="D6" s="18" t="s">
        <v>141</v>
      </c>
      <c r="E6" s="12" t="s">
        <v>67</v>
      </c>
      <c r="F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6" t="s">
        <v>201</v>
      </c>
      <c r="C7" s="46">
        <v>45086.0</v>
      </c>
      <c r="D7" s="17">
        <v>24.0</v>
      </c>
      <c r="E7" s="42" t="s">
        <v>82</v>
      </c>
      <c r="F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6" t="s">
        <v>170</v>
      </c>
      <c r="C8" s="46">
        <v>45314.0</v>
      </c>
      <c r="D8" s="17">
        <v>7.9</v>
      </c>
      <c r="E8" s="42" t="s">
        <v>106</v>
      </c>
      <c r="F8" s="4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6" t="s">
        <v>202</v>
      </c>
      <c r="C9" s="46">
        <v>45315.0</v>
      </c>
      <c r="D9" s="17">
        <v>255.81</v>
      </c>
      <c r="E9" s="42" t="s">
        <v>103</v>
      </c>
      <c r="F9" s="43"/>
      <c r="I9" s="12"/>
      <c r="J9" s="12"/>
      <c r="K9" s="12"/>
      <c r="L9" s="4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6" t="s">
        <v>145</v>
      </c>
      <c r="C10" s="46">
        <v>45316.0</v>
      </c>
      <c r="D10" s="17">
        <v>134.48</v>
      </c>
      <c r="E10" s="42" t="s">
        <v>100</v>
      </c>
      <c r="F10" s="4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6" t="s">
        <v>203</v>
      </c>
      <c r="C11" s="46">
        <v>45316.0</v>
      </c>
      <c r="D11" s="17">
        <v>97.18</v>
      </c>
      <c r="E11" s="42" t="s">
        <v>107</v>
      </c>
      <c r="F11" s="4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6" t="s">
        <v>164</v>
      </c>
      <c r="C12" s="46">
        <v>45317.0</v>
      </c>
      <c r="D12" s="17">
        <v>6.12</v>
      </c>
      <c r="E12" s="42" t="s">
        <v>107</v>
      </c>
      <c r="F12" s="4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6" t="s">
        <v>146</v>
      </c>
      <c r="C13" s="46">
        <v>45317.0</v>
      </c>
      <c r="D13" s="17">
        <v>13.56</v>
      </c>
      <c r="E13" s="42" t="s">
        <v>96</v>
      </c>
      <c r="F13" s="43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6" t="s">
        <v>147</v>
      </c>
      <c r="C14" s="46">
        <v>45318.0</v>
      </c>
      <c r="D14" s="17">
        <v>103.96</v>
      </c>
      <c r="E14" s="42" t="s">
        <v>99</v>
      </c>
      <c r="F14" s="4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6" t="s">
        <v>204</v>
      </c>
      <c r="C15" s="46">
        <v>45318.0</v>
      </c>
      <c r="D15" s="17">
        <v>89.04</v>
      </c>
      <c r="E15" s="42" t="s">
        <v>93</v>
      </c>
      <c r="F15" s="4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6" t="s">
        <v>205</v>
      </c>
      <c r="C16" s="46">
        <v>45318.0</v>
      </c>
      <c r="D16" s="17">
        <v>500.0</v>
      </c>
      <c r="E16" s="42" t="s">
        <v>107</v>
      </c>
      <c r="F16" s="4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6" t="s">
        <v>205</v>
      </c>
      <c r="C17" s="46">
        <v>45318.0</v>
      </c>
      <c r="D17" s="17">
        <v>-331.13</v>
      </c>
      <c r="E17" s="42" t="s">
        <v>107</v>
      </c>
      <c r="F17" s="4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6" t="s">
        <v>206</v>
      </c>
      <c r="C18" s="46">
        <v>45319.0</v>
      </c>
      <c r="D18" s="17">
        <v>193.8</v>
      </c>
      <c r="E18" s="42" t="s">
        <v>103</v>
      </c>
      <c r="F18" s="4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6" t="s">
        <v>208</v>
      </c>
      <c r="C19" s="46">
        <v>45320.0</v>
      </c>
      <c r="D19" s="17">
        <v>1000.0</v>
      </c>
      <c r="E19" s="42" t="s">
        <v>209</v>
      </c>
      <c r="F19" s="4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6" t="s">
        <v>210</v>
      </c>
      <c r="C20" s="46">
        <v>45320.0</v>
      </c>
      <c r="D20" s="17">
        <v>84.75</v>
      </c>
      <c r="E20" s="42" t="s">
        <v>207</v>
      </c>
      <c r="F20" s="4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6" t="s">
        <v>161</v>
      </c>
      <c r="C21" s="46">
        <v>45321.0</v>
      </c>
      <c r="D21" s="17">
        <v>8.99</v>
      </c>
      <c r="E21" s="42" t="s">
        <v>101</v>
      </c>
      <c r="F21" s="4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6" t="s">
        <v>152</v>
      </c>
      <c r="C22" s="46">
        <v>45321.0</v>
      </c>
      <c r="D22" s="17">
        <v>-4198.26</v>
      </c>
      <c r="E22" s="42" t="s">
        <v>153</v>
      </c>
      <c r="F22" s="4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6" t="s">
        <v>211</v>
      </c>
      <c r="C23" s="46">
        <v>45321.0</v>
      </c>
      <c r="D23" s="17">
        <v>6.2</v>
      </c>
      <c r="E23" s="42" t="s">
        <v>105</v>
      </c>
      <c r="F23" s="4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6" t="s">
        <v>155</v>
      </c>
      <c r="C24" s="46">
        <v>45322.0</v>
      </c>
      <c r="D24" s="17">
        <v>5.64</v>
      </c>
      <c r="E24" s="42" t="s">
        <v>104</v>
      </c>
      <c r="F24" s="4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6" t="s">
        <v>157</v>
      </c>
      <c r="C25" s="46">
        <v>45322.0</v>
      </c>
      <c r="D25" s="17">
        <v>37.04</v>
      </c>
      <c r="E25" s="42" t="s">
        <v>95</v>
      </c>
      <c r="F25" s="4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6" t="s">
        <v>155</v>
      </c>
      <c r="C26" s="46">
        <v>45329.0</v>
      </c>
      <c r="D26" s="17">
        <v>10.16</v>
      </c>
      <c r="E26" s="42" t="s">
        <v>104</v>
      </c>
      <c r="F26" s="4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6" t="s">
        <v>157</v>
      </c>
      <c r="C27" s="46">
        <v>45329.0</v>
      </c>
      <c r="D27" s="17">
        <v>87.43</v>
      </c>
      <c r="E27" s="42" t="s">
        <v>95</v>
      </c>
      <c r="F27" s="4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6" t="s">
        <v>168</v>
      </c>
      <c r="C28" s="46">
        <v>45330.0</v>
      </c>
      <c r="D28" s="17">
        <v>50.0</v>
      </c>
      <c r="E28" s="42" t="s">
        <v>85</v>
      </c>
      <c r="F28" s="43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6" t="s">
        <v>181</v>
      </c>
      <c r="C29" s="46">
        <v>45330.0</v>
      </c>
      <c r="D29" s="17">
        <v>160.67</v>
      </c>
      <c r="E29" s="42" t="s">
        <v>103</v>
      </c>
      <c r="F29" s="43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6" t="s">
        <v>212</v>
      </c>
      <c r="C30" s="46">
        <v>45331.0</v>
      </c>
      <c r="D30" s="17">
        <v>2300.0</v>
      </c>
      <c r="E30" s="42" t="s">
        <v>103</v>
      </c>
      <c r="F30" s="4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6" t="s">
        <v>212</v>
      </c>
      <c r="C31" s="46">
        <v>45331.0</v>
      </c>
      <c r="D31" s="17">
        <v>264.25</v>
      </c>
      <c r="E31" s="42" t="s">
        <v>103</v>
      </c>
      <c r="F31" s="4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6" t="s">
        <v>213</v>
      </c>
      <c r="C32" s="46">
        <v>45331.0</v>
      </c>
      <c r="D32" s="17">
        <v>144.0</v>
      </c>
      <c r="E32" s="42" t="s">
        <v>207</v>
      </c>
      <c r="F32" s="4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6" t="s">
        <v>170</v>
      </c>
      <c r="C33" s="46">
        <v>45332.0</v>
      </c>
      <c r="D33" s="17">
        <v>4.51</v>
      </c>
      <c r="E33" s="42" t="s">
        <v>106</v>
      </c>
      <c r="F33" s="4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6" t="s">
        <v>170</v>
      </c>
      <c r="C34" s="46">
        <v>45332.0</v>
      </c>
      <c r="D34" s="17">
        <v>4.51</v>
      </c>
      <c r="E34" s="42" t="s">
        <v>106</v>
      </c>
      <c r="F34" s="4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6" t="s">
        <v>214</v>
      </c>
      <c r="C35" s="46">
        <v>45332.0</v>
      </c>
      <c r="D35" s="17">
        <v>52.4</v>
      </c>
      <c r="E35" s="42" t="s">
        <v>96</v>
      </c>
      <c r="F35" s="4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6" t="s">
        <v>215</v>
      </c>
      <c r="C36" s="46">
        <v>45332.0</v>
      </c>
      <c r="D36" s="17">
        <v>32.72</v>
      </c>
      <c r="E36" s="42" t="s">
        <v>103</v>
      </c>
      <c r="F36" s="4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6" t="s">
        <v>216</v>
      </c>
      <c r="C37" s="46">
        <v>45332.0</v>
      </c>
      <c r="D37" s="17">
        <v>4.15</v>
      </c>
      <c r="E37" s="42" t="s">
        <v>87</v>
      </c>
      <c r="F37" s="4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6" t="s">
        <v>205</v>
      </c>
      <c r="C38" s="46">
        <v>45332.0</v>
      </c>
      <c r="D38" s="17">
        <v>54.19</v>
      </c>
      <c r="E38" s="42" t="s">
        <v>98</v>
      </c>
      <c r="F38" s="4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6" t="s">
        <v>171</v>
      </c>
      <c r="C39" s="46">
        <v>45335.0</v>
      </c>
      <c r="D39" s="17">
        <v>11.29</v>
      </c>
      <c r="E39" s="42" t="s">
        <v>106</v>
      </c>
      <c r="F39" s="4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6" t="s">
        <v>217</v>
      </c>
      <c r="C40" s="46">
        <v>45335.0</v>
      </c>
      <c r="D40" s="17">
        <v>81.36</v>
      </c>
      <c r="E40" s="42" t="s">
        <v>105</v>
      </c>
      <c r="F40" s="4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6" t="s">
        <v>217</v>
      </c>
      <c r="C41" s="46">
        <v>45335.0</v>
      </c>
      <c r="D41" s="17">
        <v>65.09</v>
      </c>
      <c r="E41" s="42" t="s">
        <v>105</v>
      </c>
      <c r="F41" s="4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6" t="s">
        <v>218</v>
      </c>
      <c r="C42" s="46">
        <v>45335.0</v>
      </c>
      <c r="D42" s="17">
        <v>73.77</v>
      </c>
      <c r="E42" s="42" t="s">
        <v>92</v>
      </c>
      <c r="F42" s="4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6" t="s">
        <v>219</v>
      </c>
      <c r="C43" s="46">
        <v>45336.0</v>
      </c>
      <c r="D43" s="17">
        <v>22.59</v>
      </c>
      <c r="E43" s="42" t="s">
        <v>105</v>
      </c>
      <c r="F43" s="4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6" t="s">
        <v>220</v>
      </c>
      <c r="C44" s="46">
        <v>45336.0</v>
      </c>
      <c r="D44" s="17">
        <v>19.31</v>
      </c>
      <c r="E44" s="42" t="s">
        <v>82</v>
      </c>
      <c r="F44" s="4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6" t="s">
        <v>155</v>
      </c>
      <c r="C45" s="46">
        <v>45337.0</v>
      </c>
      <c r="D45" s="17">
        <v>4.51</v>
      </c>
      <c r="E45" s="42" t="s">
        <v>104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6" t="s">
        <v>174</v>
      </c>
      <c r="C46" s="46">
        <v>45337.0</v>
      </c>
      <c r="D46" s="17">
        <v>200.0</v>
      </c>
      <c r="E46" s="42" t="s">
        <v>85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6" t="s">
        <v>221</v>
      </c>
      <c r="C47" s="46">
        <v>45338.0</v>
      </c>
      <c r="D47" s="17">
        <v>39.85</v>
      </c>
      <c r="E47" s="42" t="s">
        <v>92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6" t="s">
        <v>155</v>
      </c>
      <c r="C48" s="46">
        <v>45338.0</v>
      </c>
      <c r="D48" s="17">
        <v>11.29</v>
      </c>
      <c r="E48" s="42" t="s">
        <v>104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6" t="s">
        <v>164</v>
      </c>
      <c r="C49" s="46">
        <v>45338.0</v>
      </c>
      <c r="D49" s="17">
        <v>24.89</v>
      </c>
      <c r="E49" s="42" t="s">
        <v>107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6" t="s">
        <v>222</v>
      </c>
      <c r="C50" s="46">
        <v>45339.0</v>
      </c>
      <c r="D50" s="17">
        <v>7.48</v>
      </c>
      <c r="E50" s="42" t="s">
        <v>105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6" t="s">
        <v>177</v>
      </c>
      <c r="C51" s="46">
        <v>45340.0</v>
      </c>
      <c r="D51" s="17">
        <v>4.99</v>
      </c>
      <c r="E51" s="42" t="s">
        <v>106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6" t="s">
        <v>179</v>
      </c>
      <c r="C52" s="46">
        <v>45341.0</v>
      </c>
      <c r="D52" s="17">
        <v>46.09</v>
      </c>
      <c r="E52" s="42" t="s">
        <v>105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6" t="s">
        <v>223</v>
      </c>
      <c r="C53" s="46">
        <v>45341.0</v>
      </c>
      <c r="D53" s="17">
        <v>66.64</v>
      </c>
      <c r="E53" s="42" t="s">
        <v>105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6" t="s">
        <v>170</v>
      </c>
      <c r="C54" s="46">
        <v>45344.0</v>
      </c>
      <c r="D54" s="17">
        <v>14.68</v>
      </c>
      <c r="E54" s="42" t="s">
        <v>106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1"/>
      <c r="B55" s="16" t="s">
        <v>157</v>
      </c>
      <c r="C55" s="46">
        <v>45344.0</v>
      </c>
      <c r="D55" s="17">
        <v>3.49</v>
      </c>
      <c r="E55" s="42" t="s">
        <v>95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6" t="s">
        <v>224</v>
      </c>
      <c r="C56" s="46">
        <v>45345.0</v>
      </c>
      <c r="D56" s="17">
        <v>68.93</v>
      </c>
      <c r="E56" s="42" t="s">
        <v>93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6" t="s">
        <v>225</v>
      </c>
      <c r="C57" s="46">
        <v>45345.0</v>
      </c>
      <c r="D57" s="17">
        <v>24.99</v>
      </c>
      <c r="E57" s="42" t="s">
        <v>96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6" t="s">
        <v>183</v>
      </c>
      <c r="C58" s="46">
        <v>45346.0</v>
      </c>
      <c r="D58" s="17">
        <v>16.94</v>
      </c>
      <c r="E58" s="42" t="s">
        <v>106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1"/>
      <c r="C59" s="42"/>
      <c r="D59" s="52"/>
      <c r="E59" s="42" t="s">
        <v>98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1"/>
      <c r="C60" s="42"/>
      <c r="D60" s="52"/>
      <c r="E60" s="42" t="s">
        <v>106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1"/>
      <c r="C61" s="42"/>
      <c r="D61" s="52"/>
      <c r="E61" s="42" t="s">
        <v>106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1"/>
      <c r="C62" s="42"/>
      <c r="D62" s="52"/>
      <c r="E62" s="42" t="s">
        <v>100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1"/>
      <c r="C63" s="42"/>
      <c r="D63" s="52"/>
      <c r="E63" s="42" t="s">
        <v>104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1"/>
      <c r="C64" s="42"/>
      <c r="D64" s="52"/>
      <c r="E64" s="42" t="s">
        <v>106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2"/>
      <c r="E1005" s="12"/>
      <c r="F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2"/>
      <c r="E1006" s="12"/>
      <c r="F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12"/>
      <c r="D1007" s="12"/>
      <c r="E1007" s="12"/>
      <c r="F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12"/>
      <c r="D1008" s="12"/>
      <c r="E1008" s="12"/>
      <c r="F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12"/>
      <c r="D1009" s="12"/>
      <c r="E1009" s="12"/>
      <c r="F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12"/>
      <c r="D1010" s="12"/>
      <c r="E1010" s="12"/>
      <c r="F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12"/>
      <c r="D1011" s="12"/>
      <c r="E1011" s="12"/>
      <c r="F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12"/>
      <c r="D1012" s="12"/>
      <c r="E1012" s="12"/>
      <c r="F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12"/>
      <c r="D1013" s="12"/>
      <c r="E1013" s="12"/>
      <c r="F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12"/>
      <c r="D1014" s="12"/>
      <c r="E1014" s="12"/>
      <c r="F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12"/>
      <c r="D1015" s="12"/>
      <c r="E1015" s="12"/>
      <c r="F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12"/>
      <c r="D1016" s="12"/>
      <c r="E1016" s="12"/>
      <c r="F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2"/>
      <c r="B1017" s="12"/>
      <c r="C1017" s="12"/>
      <c r="D1017" s="12"/>
      <c r="E1017" s="12"/>
      <c r="F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2"/>
      <c r="B1018" s="12"/>
      <c r="C1018" s="12"/>
      <c r="D1018" s="12"/>
      <c r="E1018" s="12"/>
      <c r="F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2"/>
      <c r="B1019" s="12"/>
      <c r="C1019" s="12"/>
      <c r="D1019" s="12"/>
      <c r="E1019" s="12"/>
      <c r="F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2"/>
      <c r="B1020" s="12"/>
      <c r="C1020" s="12"/>
      <c r="D1020" s="12"/>
      <c r="E1020" s="12"/>
      <c r="F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2"/>
      <c r="B1021" s="12"/>
      <c r="C1021" s="12"/>
      <c r="D1021" s="12"/>
      <c r="E1021" s="12"/>
      <c r="F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2"/>
      <c r="B1022" s="12"/>
      <c r="C1022" s="12"/>
      <c r="D1022" s="12"/>
      <c r="E1022" s="12"/>
      <c r="F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</sheetData>
  <mergeCells count="3">
    <mergeCell ref="A1:B1"/>
    <mergeCell ref="D1:E1"/>
    <mergeCell ref="G1:H1"/>
  </mergeCells>
  <dataValidations>
    <dataValidation type="list" allowBlank="1" sqref="E7:E16 E18:E64">
      <formula1>"PAYMENT,DINE IN,TAKEOUT,DELIVERY,COFFEE,GROCERIES,INTERNET,MOBILE,PRIME VIDEO,HEALTH,CANNABIS,ALCOHOL,GAS,PARKING,NEWSPAPER,CLOTHES,TECHNOLOGY,FURNITURE,CHARITY,ENTERTAINMENT,PETS,HOTELS,TRANSPORTATION,HOUSEHOLD,GIFTS,FLIGHTS,PARAMOUNT,WEDDING,NONALC"</formula1>
    </dataValidation>
    <dataValidation type="list" allowBlank="1" sqref="E17">
      <formula1>"OTHER/NONE,PAYMENT,DINE IN,TAKEOUT,DELIVERY,COFFEE,GROCERIES,INTERNET,MOBILE,SUBSCRIPTION SERVICES,BENEFITS,CANNABIS,ALCOHOL,GAS,PARKING,NEWSPAPER,CLOTHES,TECHNOLOGY,FURNITURE,CHARITY,ENTERTAINMENT,CATS,HOTELS,TRANSPORTATION"</formula1>
    </dataValidation>
  </dataValidation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0"/>
    <col customWidth="1" min="5" max="5" width="18.63"/>
    <col customWidth="1" min="7" max="7" width="16.13"/>
    <col customWidth="1" min="8" max="8" width="15.13"/>
    <col customWidth="1" min="9" max="9" width="11.25"/>
    <col customWidth="1" min="10" max="10" width="18.63"/>
  </cols>
  <sheetData>
    <row r="1">
      <c r="A1" s="35" t="s">
        <v>134</v>
      </c>
      <c r="D1" s="35" t="s">
        <v>135</v>
      </c>
      <c r="F1" s="12"/>
      <c r="G1" s="35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6" t="s">
        <v>136</v>
      </c>
      <c r="B2" s="37">
        <v>45375.0</v>
      </c>
      <c r="C2" s="36"/>
      <c r="D2" s="36" t="s">
        <v>136</v>
      </c>
      <c r="E2" s="18"/>
      <c r="F2" s="37">
        <v>45375.0</v>
      </c>
      <c r="G2" s="36"/>
      <c r="H2" s="18"/>
      <c r="I2" s="37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36" t="s">
        <v>137</v>
      </c>
      <c r="B3" s="26">
        <f>824.54</f>
        <v>824.54</v>
      </c>
      <c r="C3" s="36"/>
      <c r="D3" s="36" t="s">
        <v>137</v>
      </c>
      <c r="E3" s="18"/>
      <c r="F3" s="26">
        <f>1483.65</f>
        <v>1483.65</v>
      </c>
      <c r="G3" s="36"/>
      <c r="H3" s="18"/>
      <c r="I3" s="2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36" t="s">
        <v>138</v>
      </c>
      <c r="B4" s="39">
        <v>45394.0</v>
      </c>
      <c r="C4" s="36"/>
      <c r="D4" s="36" t="s">
        <v>138</v>
      </c>
      <c r="E4" s="18"/>
      <c r="F4" s="39">
        <v>45399.0</v>
      </c>
      <c r="G4" s="36"/>
      <c r="H4" s="18"/>
      <c r="I4" s="39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2"/>
      <c r="C5" s="18"/>
      <c r="D5" s="1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2" t="s">
        <v>139</v>
      </c>
      <c r="C6" s="19" t="s">
        <v>140</v>
      </c>
      <c r="D6" s="18" t="s">
        <v>141</v>
      </c>
      <c r="E6" s="12" t="s">
        <v>67</v>
      </c>
      <c r="F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2"/>
      <c r="B7" s="16" t="s">
        <v>145</v>
      </c>
      <c r="C7" s="46">
        <v>45347.0</v>
      </c>
      <c r="D7" s="17">
        <v>139.0</v>
      </c>
      <c r="E7" s="42" t="s">
        <v>100</v>
      </c>
      <c r="F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2"/>
      <c r="B8" s="16" t="s">
        <v>146</v>
      </c>
      <c r="C8" s="46">
        <v>45348.0</v>
      </c>
      <c r="D8" s="17">
        <v>13.56</v>
      </c>
      <c r="E8" s="42" t="s">
        <v>96</v>
      </c>
      <c r="F8" s="4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2"/>
      <c r="B9" s="16" t="s">
        <v>155</v>
      </c>
      <c r="C9" s="46">
        <v>45349.0</v>
      </c>
      <c r="D9" s="17">
        <v>7.9</v>
      </c>
      <c r="E9" s="42" t="s">
        <v>104</v>
      </c>
      <c r="F9" s="43"/>
      <c r="I9" s="44"/>
      <c r="J9" s="45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2"/>
      <c r="B10" s="16" t="s">
        <v>147</v>
      </c>
      <c r="C10" s="46">
        <v>45349.0</v>
      </c>
      <c r="D10" s="17">
        <v>103.96</v>
      </c>
      <c r="E10" s="42" t="s">
        <v>99</v>
      </c>
      <c r="F10" s="4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12"/>
      <c r="B11" s="16" t="s">
        <v>161</v>
      </c>
      <c r="C11" s="46">
        <v>45349.0</v>
      </c>
      <c r="D11" s="17">
        <v>8.99</v>
      </c>
      <c r="E11" s="42" t="s">
        <v>101</v>
      </c>
      <c r="F11" s="4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2"/>
      <c r="B12" s="16" t="s">
        <v>152</v>
      </c>
      <c r="C12" s="46">
        <v>45350.0</v>
      </c>
      <c r="D12" s="17">
        <v>-6214.51</v>
      </c>
      <c r="E12" s="42" t="s">
        <v>153</v>
      </c>
      <c r="F12" s="4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2"/>
      <c r="B13" s="16" t="s">
        <v>155</v>
      </c>
      <c r="C13" s="46">
        <v>45352.0</v>
      </c>
      <c r="D13" s="17">
        <v>5.64</v>
      </c>
      <c r="E13" s="42" t="s">
        <v>104</v>
      </c>
      <c r="F13" s="43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2"/>
      <c r="B14" s="16" t="s">
        <v>226</v>
      </c>
      <c r="C14" s="46">
        <v>45353.0</v>
      </c>
      <c r="D14" s="17">
        <v>23.05</v>
      </c>
      <c r="E14" s="42" t="s">
        <v>105</v>
      </c>
      <c r="F14" s="4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2"/>
      <c r="B15" s="16" t="s">
        <v>227</v>
      </c>
      <c r="C15" s="46">
        <v>45355.0</v>
      </c>
      <c r="D15" s="17">
        <v>33.26</v>
      </c>
      <c r="E15" s="42" t="s">
        <v>90</v>
      </c>
      <c r="F15" s="4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2"/>
      <c r="B16" s="16" t="s">
        <v>179</v>
      </c>
      <c r="C16" s="46">
        <v>45355.0</v>
      </c>
      <c r="D16" s="17">
        <v>45.12</v>
      </c>
      <c r="E16" s="42" t="s">
        <v>105</v>
      </c>
      <c r="F16" s="4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2"/>
      <c r="B17" s="16" t="s">
        <v>228</v>
      </c>
      <c r="C17" s="46">
        <v>45356.0</v>
      </c>
      <c r="D17" s="17">
        <v>94.6</v>
      </c>
      <c r="E17" s="42" t="s">
        <v>90</v>
      </c>
      <c r="F17" s="4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2"/>
      <c r="B18" s="16" t="s">
        <v>228</v>
      </c>
      <c r="C18" s="46">
        <v>45356.0</v>
      </c>
      <c r="D18" s="17">
        <v>10.17</v>
      </c>
      <c r="E18" s="42" t="s">
        <v>82</v>
      </c>
      <c r="F18" s="4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2"/>
      <c r="B19" s="16" t="s">
        <v>230</v>
      </c>
      <c r="C19" s="46">
        <v>45357.0</v>
      </c>
      <c r="D19" s="17">
        <v>118.65</v>
      </c>
      <c r="E19" s="42" t="s">
        <v>107</v>
      </c>
      <c r="F19" s="4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2"/>
      <c r="B20" s="16" t="s">
        <v>155</v>
      </c>
      <c r="C20" s="46">
        <v>45358.0</v>
      </c>
      <c r="D20" s="17">
        <v>10.16</v>
      </c>
      <c r="E20" s="42" t="s">
        <v>104</v>
      </c>
      <c r="F20" s="4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2"/>
      <c r="B21" s="16" t="s">
        <v>168</v>
      </c>
      <c r="C21" s="46">
        <v>45359.0</v>
      </c>
      <c r="D21" s="17">
        <v>50.0</v>
      </c>
      <c r="E21" s="42" t="s">
        <v>85</v>
      </c>
      <c r="F21" s="4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2"/>
      <c r="B22" s="16" t="s">
        <v>231</v>
      </c>
      <c r="C22" s="46">
        <v>45360.0</v>
      </c>
      <c r="D22" s="17">
        <v>112.17</v>
      </c>
      <c r="E22" s="42" t="s">
        <v>106</v>
      </c>
      <c r="F22" s="4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2"/>
      <c r="B23" s="16" t="s">
        <v>154</v>
      </c>
      <c r="C23" s="46">
        <v>45360.0</v>
      </c>
      <c r="D23" s="17">
        <v>57.48</v>
      </c>
      <c r="E23" s="42" t="s">
        <v>93</v>
      </c>
      <c r="F23" s="4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6" t="s">
        <v>170</v>
      </c>
      <c r="C24" s="46">
        <v>45361.0</v>
      </c>
      <c r="D24" s="17">
        <v>4.51</v>
      </c>
      <c r="E24" s="42" t="s">
        <v>106</v>
      </c>
      <c r="F24" s="4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2"/>
      <c r="B25" s="16" t="s">
        <v>170</v>
      </c>
      <c r="C25" s="46">
        <v>45361.0</v>
      </c>
      <c r="D25" s="17">
        <v>4.51</v>
      </c>
      <c r="E25" s="42" t="s">
        <v>106</v>
      </c>
      <c r="F25" s="4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6" t="s">
        <v>171</v>
      </c>
      <c r="C26" s="46">
        <v>45364.0</v>
      </c>
      <c r="D26" s="17">
        <v>11.29</v>
      </c>
      <c r="E26" s="42" t="s">
        <v>104</v>
      </c>
      <c r="F26" s="43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6" t="s">
        <v>232</v>
      </c>
      <c r="C27" s="46">
        <v>45365.0</v>
      </c>
      <c r="D27" s="17">
        <v>14.22</v>
      </c>
      <c r="E27" s="42" t="s">
        <v>96</v>
      </c>
      <c r="F27" s="4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6" t="s">
        <v>155</v>
      </c>
      <c r="C28" s="46">
        <v>45366.0</v>
      </c>
      <c r="D28" s="17">
        <v>4.51</v>
      </c>
      <c r="E28" s="42" t="s">
        <v>104</v>
      </c>
      <c r="F28" s="43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6" t="s">
        <v>174</v>
      </c>
      <c r="C29" s="46">
        <v>45366.0</v>
      </c>
      <c r="D29" s="17">
        <v>200.0</v>
      </c>
      <c r="E29" s="42" t="s">
        <v>85</v>
      </c>
      <c r="F29" s="43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6" t="s">
        <v>150</v>
      </c>
      <c r="C30" s="46">
        <v>45366.0</v>
      </c>
      <c r="D30" s="17">
        <v>76.4</v>
      </c>
      <c r="E30" s="42" t="s">
        <v>82</v>
      </c>
      <c r="F30" s="4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6" t="s">
        <v>157</v>
      </c>
      <c r="C31" s="46">
        <v>45366.0</v>
      </c>
      <c r="D31" s="17">
        <v>60.53</v>
      </c>
      <c r="E31" s="42" t="s">
        <v>95</v>
      </c>
      <c r="F31" s="4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6" t="s">
        <v>155</v>
      </c>
      <c r="C32" s="46">
        <v>45367.0</v>
      </c>
      <c r="D32" s="17">
        <v>11.29</v>
      </c>
      <c r="E32" s="42" t="s">
        <v>104</v>
      </c>
      <c r="F32" s="4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6" t="s">
        <v>233</v>
      </c>
      <c r="C33" s="46">
        <v>45367.0</v>
      </c>
      <c r="D33" s="17">
        <v>78.54</v>
      </c>
      <c r="E33" s="42" t="s">
        <v>101</v>
      </c>
      <c r="F33" s="4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6" t="s">
        <v>231</v>
      </c>
      <c r="C34" s="46">
        <v>45368.0</v>
      </c>
      <c r="D34" s="17">
        <v>-110.04</v>
      </c>
      <c r="E34" s="42" t="s">
        <v>153</v>
      </c>
      <c r="F34" s="4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6" t="s">
        <v>154</v>
      </c>
      <c r="C35" s="46">
        <v>45368.0</v>
      </c>
      <c r="D35" s="17">
        <v>41.25</v>
      </c>
      <c r="E35" s="42" t="s">
        <v>93</v>
      </c>
      <c r="F35" s="4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6" t="s">
        <v>177</v>
      </c>
      <c r="C36" s="46">
        <v>45369.0</v>
      </c>
      <c r="D36" s="17">
        <v>4.99</v>
      </c>
      <c r="E36" s="42" t="s">
        <v>106</v>
      </c>
      <c r="F36" s="4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6" t="s">
        <v>150</v>
      </c>
      <c r="C37" s="46">
        <v>45370.0</v>
      </c>
      <c r="D37" s="17">
        <v>20.0</v>
      </c>
      <c r="E37" s="42" t="s">
        <v>82</v>
      </c>
      <c r="F37" s="4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6" t="s">
        <v>170</v>
      </c>
      <c r="C38" s="46">
        <v>45373.0</v>
      </c>
      <c r="D38" s="17">
        <v>14.68</v>
      </c>
      <c r="E38" s="42" t="s">
        <v>106</v>
      </c>
      <c r="F38" s="4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6" t="s">
        <v>157</v>
      </c>
      <c r="C39" s="46">
        <v>45373.0</v>
      </c>
      <c r="D39" s="17">
        <v>113.21</v>
      </c>
      <c r="E39" s="42" t="s">
        <v>95</v>
      </c>
      <c r="F39" s="4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6" t="s">
        <v>234</v>
      </c>
      <c r="C40" s="46">
        <v>45374.0</v>
      </c>
      <c r="D40" s="17">
        <v>83.11</v>
      </c>
      <c r="E40" s="42" t="s">
        <v>90</v>
      </c>
      <c r="F40" s="4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6" t="s">
        <v>183</v>
      </c>
      <c r="C41" s="46">
        <v>45375.0</v>
      </c>
      <c r="D41" s="17">
        <v>16.94</v>
      </c>
      <c r="E41" s="42" t="s">
        <v>106</v>
      </c>
      <c r="F41" s="4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6" t="s">
        <v>235</v>
      </c>
      <c r="C42" s="46">
        <v>45370.0</v>
      </c>
      <c r="D42" s="17">
        <v>97.1</v>
      </c>
      <c r="E42" s="42" t="s">
        <v>105</v>
      </c>
      <c r="F42" s="4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6" t="s">
        <v>236</v>
      </c>
      <c r="C43" s="46">
        <v>45370.0</v>
      </c>
      <c r="D43" s="17">
        <v>167.62</v>
      </c>
      <c r="E43" s="42" t="s">
        <v>103</v>
      </c>
      <c r="F43" s="4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6" t="s">
        <v>237</v>
      </c>
      <c r="C44" s="46">
        <v>45368.0</v>
      </c>
      <c r="D44" s="17">
        <v>46.79</v>
      </c>
      <c r="E44" s="42" t="s">
        <v>105</v>
      </c>
      <c r="F44" s="4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6" t="s">
        <v>238</v>
      </c>
      <c r="C45" s="46">
        <v>45365.0</v>
      </c>
      <c r="D45" s="17">
        <v>11.0</v>
      </c>
      <c r="E45" s="42" t="s">
        <v>105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6" t="s">
        <v>238</v>
      </c>
      <c r="C46" s="46">
        <v>45365.0</v>
      </c>
      <c r="D46" s="17">
        <v>3.5</v>
      </c>
      <c r="E46" s="42" t="s">
        <v>105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6" t="s">
        <v>239</v>
      </c>
      <c r="C47" s="46">
        <v>45364.0</v>
      </c>
      <c r="D47" s="17">
        <v>6.08</v>
      </c>
      <c r="E47" s="42" t="s">
        <v>105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6" t="s">
        <v>240</v>
      </c>
      <c r="C48" s="46">
        <v>45359.0</v>
      </c>
      <c r="D48" s="17">
        <v>18.98</v>
      </c>
      <c r="E48" s="42" t="s">
        <v>82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6" t="s">
        <v>241</v>
      </c>
      <c r="C49" s="46">
        <v>45359.0</v>
      </c>
      <c r="D49" s="17">
        <v>116.39</v>
      </c>
      <c r="E49" s="42" t="s">
        <v>90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6" t="s">
        <v>242</v>
      </c>
      <c r="C50" s="46">
        <v>45358.0</v>
      </c>
      <c r="D50" s="17">
        <v>15.57</v>
      </c>
      <c r="E50" s="42" t="s">
        <v>105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6" t="s">
        <v>194</v>
      </c>
      <c r="C51" s="46">
        <v>45356.0</v>
      </c>
      <c r="D51" s="17">
        <v>-12.94</v>
      </c>
      <c r="E51" s="42" t="s">
        <v>153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6" t="s">
        <v>243</v>
      </c>
      <c r="C52" s="46">
        <v>45354.0</v>
      </c>
      <c r="D52" s="17">
        <v>50.36</v>
      </c>
      <c r="E52" s="42" t="s">
        <v>82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6" t="s">
        <v>195</v>
      </c>
      <c r="C53" s="46">
        <v>45353.0</v>
      </c>
      <c r="D53" s="17">
        <v>47.33</v>
      </c>
      <c r="E53" s="42" t="s">
        <v>105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6" t="s">
        <v>197</v>
      </c>
      <c r="C54" s="46">
        <v>45350.0</v>
      </c>
      <c r="D54" s="17">
        <v>-1890.06</v>
      </c>
      <c r="E54" s="42" t="s">
        <v>153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6" t="s">
        <v>236</v>
      </c>
      <c r="C55" s="46">
        <v>45344.0</v>
      </c>
      <c r="D55" s="17">
        <v>256.76</v>
      </c>
      <c r="E55" s="42" t="s">
        <v>103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6"/>
      <c r="C56" s="46"/>
      <c r="D56" s="17"/>
      <c r="E56" s="42" t="s">
        <v>85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6"/>
      <c r="C57" s="46"/>
      <c r="D57" s="17"/>
      <c r="E57" s="42" t="s">
        <v>98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6"/>
      <c r="C58" s="46"/>
      <c r="D58" s="17"/>
      <c r="E58" s="42" t="s">
        <v>229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1"/>
      <c r="C59" s="53"/>
      <c r="D59" s="52"/>
      <c r="E59" s="42" t="s">
        <v>82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1"/>
      <c r="C60" s="53"/>
      <c r="D60" s="52"/>
      <c r="E60" s="42" t="s">
        <v>106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1"/>
      <c r="C61" s="53"/>
      <c r="D61" s="52"/>
      <c r="E61" s="42" t="s">
        <v>98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1"/>
      <c r="C62" s="53"/>
      <c r="D62" s="52"/>
      <c r="E62" s="42" t="s">
        <v>103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1"/>
      <c r="C63" s="53"/>
      <c r="D63" s="52"/>
      <c r="E63" s="42" t="s">
        <v>105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1"/>
      <c r="C64" s="53"/>
      <c r="D64" s="52"/>
      <c r="E64" s="42" t="s">
        <v>106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1"/>
      <c r="B65" s="11"/>
      <c r="C65" s="53"/>
      <c r="D65" s="52"/>
      <c r="E65" s="42" t="s">
        <v>94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1"/>
      <c r="C66" s="53"/>
      <c r="D66" s="52"/>
      <c r="E66" s="42" t="s">
        <v>95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1"/>
      <c r="C67" s="53"/>
      <c r="D67" s="52"/>
      <c r="E67" s="42" t="s">
        <v>106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1"/>
      <c r="C68" s="53"/>
      <c r="D68" s="52"/>
      <c r="E68" s="42" t="s">
        <v>100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54"/>
      <c r="C69" s="53"/>
      <c r="D69" s="52"/>
      <c r="E69" s="42" t="s">
        <v>106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54"/>
      <c r="C70" s="53"/>
      <c r="D70" s="52"/>
      <c r="E70" s="42" t="s">
        <v>104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54"/>
      <c r="C71" s="53"/>
      <c r="D71" s="52"/>
      <c r="E71" s="42" t="s">
        <v>106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2"/>
      <c r="E1005" s="12"/>
      <c r="F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2"/>
      <c r="E1006" s="12"/>
      <c r="F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12"/>
      <c r="D1007" s="12"/>
      <c r="E1007" s="12"/>
      <c r="F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12"/>
      <c r="D1008" s="12"/>
      <c r="E1008" s="12"/>
      <c r="F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12"/>
      <c r="D1009" s="12"/>
      <c r="E1009" s="12"/>
      <c r="F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12"/>
      <c r="D1010" s="12"/>
      <c r="E1010" s="12"/>
      <c r="F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12"/>
      <c r="D1011" s="12"/>
      <c r="E1011" s="12"/>
      <c r="F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12"/>
      <c r="D1012" s="12"/>
      <c r="E1012" s="12"/>
      <c r="F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12"/>
      <c r="D1013" s="12"/>
      <c r="E1013" s="12"/>
      <c r="F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12"/>
      <c r="D1014" s="12"/>
      <c r="E1014" s="12"/>
      <c r="F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12"/>
      <c r="D1015" s="12"/>
      <c r="E1015" s="12"/>
      <c r="F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12"/>
      <c r="D1016" s="12"/>
      <c r="E1016" s="12"/>
      <c r="F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2"/>
      <c r="B1017" s="12"/>
      <c r="C1017" s="12"/>
      <c r="D1017" s="12"/>
      <c r="E1017" s="12"/>
      <c r="F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2"/>
      <c r="B1018" s="12"/>
      <c r="C1018" s="12"/>
      <c r="D1018" s="12"/>
      <c r="E1018" s="12"/>
      <c r="F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2"/>
      <c r="B1019" s="12"/>
      <c r="C1019" s="12"/>
      <c r="D1019" s="12"/>
      <c r="E1019" s="12"/>
      <c r="F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2"/>
      <c r="B1020" s="12"/>
      <c r="C1020" s="12"/>
      <c r="D1020" s="12"/>
      <c r="E1020" s="12"/>
      <c r="F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2"/>
      <c r="B1021" s="12"/>
      <c r="C1021" s="12"/>
      <c r="D1021" s="12"/>
      <c r="E1021" s="12"/>
      <c r="F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2"/>
      <c r="B1022" s="12"/>
      <c r="C1022" s="12"/>
      <c r="D1022" s="12"/>
      <c r="E1022" s="12"/>
      <c r="F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2"/>
      <c r="B1023" s="12"/>
      <c r="C1023" s="12"/>
      <c r="D1023" s="12"/>
      <c r="E1023" s="12"/>
      <c r="F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2"/>
      <c r="B1024" s="12"/>
      <c r="C1024" s="12"/>
      <c r="D1024" s="12"/>
      <c r="E1024" s="12"/>
      <c r="F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2"/>
      <c r="B1025" s="12"/>
      <c r="C1025" s="12"/>
      <c r="D1025" s="12"/>
      <c r="E1025" s="12"/>
      <c r="F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2"/>
      <c r="B1026" s="12"/>
      <c r="C1026" s="12"/>
      <c r="D1026" s="12"/>
      <c r="E1026" s="12"/>
      <c r="F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2"/>
      <c r="B1027" s="12"/>
      <c r="C1027" s="12"/>
      <c r="D1027" s="12"/>
      <c r="E1027" s="12"/>
      <c r="F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2"/>
      <c r="B1028" s="12"/>
      <c r="C1028" s="12"/>
      <c r="D1028" s="12"/>
      <c r="E1028" s="12"/>
      <c r="F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2"/>
      <c r="B1029" s="12"/>
      <c r="C1029" s="12"/>
      <c r="D1029" s="12"/>
      <c r="E1029" s="12"/>
      <c r="F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>
      <c r="A1030" s="12"/>
      <c r="B1030" s="12"/>
      <c r="C1030" s="12"/>
      <c r="D1030" s="12"/>
      <c r="E1030" s="12"/>
      <c r="F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>
      <c r="A1031" s="12"/>
      <c r="B1031" s="12"/>
      <c r="C1031" s="12"/>
      <c r="D1031" s="12"/>
      <c r="E1031" s="12"/>
      <c r="F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>
      <c r="A1032" s="12"/>
      <c r="B1032" s="12"/>
      <c r="C1032" s="12"/>
      <c r="D1032" s="12"/>
      <c r="E1032" s="12"/>
      <c r="F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</sheetData>
  <mergeCells count="3">
    <mergeCell ref="A1:B1"/>
    <mergeCell ref="D1:E1"/>
    <mergeCell ref="G1:H1"/>
  </mergeCells>
  <dataValidations>
    <dataValidation type="list" allowBlank="1" sqref="E7:E71">
      <formula1>"PAYMENT,DINE IN,TAKEOUT,DELIVERY,COFFEE,GROCERIES,INTERNET,MOBILE,PRIME VIDEO,HEALTH,CANNABIS,ALCOHOL,GAS,PARKING,NEWSPAPER,CLOTHES,TECHNOLOGY,FURNITURE,CHARITY,ENTERTAINMENT,PETS,HOTELS,TRANSPORTATION,HOUSEHOLD,GIFTS,FLIGHTS,PARAMOUNT"</formula1>
    </dataValidation>
  </dataValidation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3" t="s">
        <v>108</v>
      </c>
      <c r="B1" s="10" t="s">
        <v>6</v>
      </c>
    </row>
    <row r="2">
      <c r="A2" s="3"/>
      <c r="B2" s="47"/>
      <c r="D2" s="47"/>
    </row>
    <row r="3">
      <c r="A3" s="3" t="s">
        <v>109</v>
      </c>
      <c r="B3" s="47"/>
      <c r="D3" s="47"/>
    </row>
    <row r="4">
      <c r="A4" s="10" t="s">
        <v>110</v>
      </c>
      <c r="B4" s="13">
        <v>1580.67</v>
      </c>
      <c r="C4" s="48"/>
    </row>
    <row r="5">
      <c r="A5" s="10" t="s">
        <v>17</v>
      </c>
      <c r="B5" s="28">
        <f>2834.71*2</f>
        <v>5669.42</v>
      </c>
      <c r="C5" s="48">
        <f>B5/B7</f>
        <v>0.6100663717</v>
      </c>
    </row>
    <row r="6">
      <c r="A6" s="10" t="s">
        <v>23</v>
      </c>
      <c r="B6" s="28">
        <f>1811.85*2</f>
        <v>3623.7</v>
      </c>
      <c r="C6" s="48">
        <f>B6/B7</f>
        <v>0.3899336283</v>
      </c>
    </row>
    <row r="7">
      <c r="A7" s="10" t="s">
        <v>111</v>
      </c>
      <c r="B7" s="14">
        <f>SUM(B5:B6)</f>
        <v>9293.12</v>
      </c>
    </row>
    <row r="9">
      <c r="A9" s="3" t="s">
        <v>112</v>
      </c>
      <c r="C9" s="10" t="s">
        <v>17</v>
      </c>
      <c r="D9" s="10" t="s">
        <v>23</v>
      </c>
    </row>
    <row r="10">
      <c r="A10" s="10" t="s">
        <v>113</v>
      </c>
      <c r="B10" s="13">
        <f>2400</f>
        <v>2400</v>
      </c>
      <c r="C10" s="14">
        <f>B10*C5</f>
        <v>1464.159292</v>
      </c>
      <c r="D10" s="14">
        <f>B10*C6</f>
        <v>935.840708</v>
      </c>
      <c r="E10" s="12"/>
    </row>
    <row r="11">
      <c r="A11" s="10" t="s">
        <v>115</v>
      </c>
      <c r="B11" s="13">
        <v>175.43</v>
      </c>
      <c r="C11" s="14">
        <f>B11*C5</f>
        <v>107.0239436</v>
      </c>
      <c r="D11" s="14">
        <f>B11*C6</f>
        <v>68.40605642</v>
      </c>
      <c r="E11" s="12"/>
    </row>
    <row r="12">
      <c r="A12" s="10" t="s">
        <v>116</v>
      </c>
      <c r="B12" s="5">
        <v>103.96</v>
      </c>
      <c r="C12" s="14">
        <f>B12*C5</f>
        <v>63.4225</v>
      </c>
      <c r="D12" s="14">
        <f>B12*C6</f>
        <v>40.5375</v>
      </c>
      <c r="E12" s="12"/>
    </row>
    <row r="13">
      <c r="A13" s="10" t="s">
        <v>117</v>
      </c>
      <c r="B13" s="13">
        <v>173.34</v>
      </c>
      <c r="C13" s="14">
        <f>B13*C5</f>
        <v>105.7489049</v>
      </c>
      <c r="D13" s="14">
        <f>B13*C6</f>
        <v>67.59109513</v>
      </c>
      <c r="E13" s="12"/>
    </row>
    <row r="14">
      <c r="A14" s="10" t="s">
        <v>118</v>
      </c>
      <c r="B14" s="13">
        <v>134.48</v>
      </c>
      <c r="C14" s="14">
        <f>B14*C5</f>
        <v>82.04172566</v>
      </c>
      <c r="D14" s="14">
        <f>B14*C6</f>
        <v>52.43827434</v>
      </c>
      <c r="E14" s="12"/>
    </row>
    <row r="15">
      <c r="A15" s="10" t="s">
        <v>119</v>
      </c>
      <c r="B15" s="13">
        <f>104.03</f>
        <v>104.03</v>
      </c>
      <c r="C15" s="14">
        <f>B15*C5</f>
        <v>63.46520465</v>
      </c>
      <c r="D15" s="14">
        <f>B15*C6</f>
        <v>40.56479535</v>
      </c>
      <c r="E15" s="11" t="s">
        <v>114</v>
      </c>
    </row>
    <row r="16">
      <c r="A16" s="10" t="s">
        <v>120</v>
      </c>
      <c r="B16" s="13">
        <f>147.97</f>
        <v>147.97</v>
      </c>
      <c r="C16" s="14">
        <f>B16*C5</f>
        <v>90.27152102</v>
      </c>
      <c r="D16" s="14">
        <f>B16*C6</f>
        <v>57.69847898</v>
      </c>
      <c r="E16" s="11" t="s">
        <v>114</v>
      </c>
    </row>
    <row r="17">
      <c r="A17" s="10"/>
      <c r="B17" s="14"/>
      <c r="C17" s="14"/>
      <c r="D17" s="14"/>
    </row>
    <row r="18">
      <c r="A18" s="10" t="s">
        <v>121</v>
      </c>
      <c r="B18" s="14">
        <f t="shared" ref="B18:D18" si="1">Sum(B10:B16)</f>
        <v>3239.21</v>
      </c>
      <c r="C18" s="14">
        <f t="shared" si="1"/>
        <v>1976.133092</v>
      </c>
      <c r="D18" s="14">
        <f t="shared" si="1"/>
        <v>1263.076908</v>
      </c>
    </row>
    <row r="19">
      <c r="A19" s="3"/>
      <c r="B19" s="13"/>
      <c r="C19" s="13"/>
      <c r="D19" s="14"/>
      <c r="E19" s="10"/>
    </row>
    <row r="20">
      <c r="A20" s="3" t="s">
        <v>122</v>
      </c>
      <c r="B20" s="13"/>
      <c r="C20" s="13"/>
      <c r="D20" s="14"/>
      <c r="E20" s="10" t="s">
        <v>16</v>
      </c>
    </row>
    <row r="21">
      <c r="A21" s="10" t="s">
        <v>123</v>
      </c>
      <c r="B21" s="14">
        <f>B7*0.25</f>
        <v>2323.28</v>
      </c>
      <c r="C21" s="14">
        <f>B21*C5</f>
        <v>1417.355</v>
      </c>
      <c r="D21" s="14">
        <f>B21*C6</f>
        <v>905.925</v>
      </c>
      <c r="E21" s="14">
        <f>SUM(C21:D21)</f>
        <v>2323.28</v>
      </c>
    </row>
    <row r="23">
      <c r="A23" s="10" t="s">
        <v>124</v>
      </c>
      <c r="B23" s="14">
        <f t="shared" ref="B23:D23" si="2">B18+B21</f>
        <v>5562.49</v>
      </c>
      <c r="C23" s="14">
        <f t="shared" si="2"/>
        <v>3393.488092</v>
      </c>
      <c r="D23" s="14">
        <f t="shared" si="2"/>
        <v>2169.001908</v>
      </c>
    </row>
    <row r="25">
      <c r="A25" s="10" t="s">
        <v>125</v>
      </c>
      <c r="C25" s="14">
        <f>B5-C23</f>
        <v>2275.931908</v>
      </c>
      <c r="D25" s="14">
        <f>B6-D23</f>
        <v>1454.698092</v>
      </c>
    </row>
    <row r="26">
      <c r="A26" s="47">
        <v>45366.0</v>
      </c>
      <c r="C26" s="13">
        <f t="shared" ref="C26:D26" si="3">C25/2</f>
        <v>1137.965954</v>
      </c>
      <c r="D26" s="14">
        <f t="shared" si="3"/>
        <v>727.3490459</v>
      </c>
    </row>
    <row r="27">
      <c r="A27" s="47">
        <v>45381.0</v>
      </c>
      <c r="C27" s="13">
        <f t="shared" ref="C27:D27" si="4">C25/2</f>
        <v>1137.965954</v>
      </c>
      <c r="D27" s="13">
        <f t="shared" si="4"/>
        <v>727.3490459</v>
      </c>
    </row>
    <row r="29">
      <c r="A29" s="49"/>
      <c r="B29" s="49"/>
      <c r="C29" s="49"/>
      <c r="D29" s="49"/>
    </row>
    <row r="30">
      <c r="A30" s="3" t="s">
        <v>126</v>
      </c>
      <c r="B30" s="10" t="s">
        <v>127</v>
      </c>
      <c r="C30" s="10" t="s">
        <v>128</v>
      </c>
    </row>
    <row r="31">
      <c r="A31" s="10" t="s">
        <v>130</v>
      </c>
      <c r="B31" s="13">
        <f>'CC - Mar 24'!F3</f>
        <v>1483.65</v>
      </c>
      <c r="C31" s="50">
        <f>'CC - Mar 24'!F4</f>
        <v>45399</v>
      </c>
      <c r="D31" s="11" t="s">
        <v>114</v>
      </c>
    </row>
    <row r="32">
      <c r="A32" s="10" t="s">
        <v>131</v>
      </c>
      <c r="B32" s="13">
        <f>'CC - Mar 24'!B3</f>
        <v>824.54</v>
      </c>
      <c r="C32" s="50">
        <f>'CC - Mar 24'!B4</f>
        <v>45394</v>
      </c>
      <c r="D32" s="11" t="s">
        <v>114</v>
      </c>
    </row>
    <row r="33">
      <c r="A33" s="10" t="s">
        <v>133</v>
      </c>
      <c r="D33" s="12"/>
    </row>
    <row r="34">
      <c r="A34" s="10"/>
    </row>
    <row r="36">
      <c r="A36" s="51"/>
      <c r="B36" s="51"/>
      <c r="C36" s="51"/>
    </row>
    <row r="37">
      <c r="B37" s="14"/>
      <c r="C37" s="14"/>
      <c r="D37" s="14"/>
      <c r="E37" s="14"/>
    </row>
    <row r="38">
      <c r="A38" s="10"/>
    </row>
    <row r="39">
      <c r="A39" s="10"/>
    </row>
  </sheetData>
  <dataValidations>
    <dataValidation type="list" allowBlank="1" showErrorMessage="1" sqref="E10:E16 D31:D33">
      <formula1>"PAID"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3" t="s">
        <v>108</v>
      </c>
      <c r="B1" s="10" t="s">
        <v>34</v>
      </c>
    </row>
    <row r="2">
      <c r="A2" s="3"/>
      <c r="B2" s="47"/>
      <c r="D2" s="47"/>
    </row>
    <row r="3">
      <c r="A3" s="3" t="s">
        <v>109</v>
      </c>
      <c r="B3" s="47"/>
      <c r="D3" s="47"/>
    </row>
    <row r="4">
      <c r="A4" s="10" t="s">
        <v>110</v>
      </c>
      <c r="B4" s="13">
        <v>1915.94</v>
      </c>
      <c r="C4" s="48"/>
    </row>
    <row r="5">
      <c r="A5" s="10" t="s">
        <v>17</v>
      </c>
      <c r="B5" s="28">
        <f>2834.71*2</f>
        <v>5669.42</v>
      </c>
      <c r="C5" s="48">
        <f>B5/B7</f>
        <v>0.6100663717</v>
      </c>
    </row>
    <row r="6">
      <c r="A6" s="10" t="s">
        <v>23</v>
      </c>
      <c r="B6" s="28">
        <f>1811.85*2</f>
        <v>3623.7</v>
      </c>
      <c r="C6" s="48">
        <f>B6/B7</f>
        <v>0.3899336283</v>
      </c>
    </row>
    <row r="7">
      <c r="A7" s="10" t="s">
        <v>111</v>
      </c>
      <c r="B7" s="14">
        <f>SUM(B5:B6)</f>
        <v>9293.12</v>
      </c>
    </row>
    <row r="9">
      <c r="A9" s="3" t="s">
        <v>112</v>
      </c>
      <c r="C9" s="10" t="s">
        <v>17</v>
      </c>
      <c r="D9" s="10" t="s">
        <v>23</v>
      </c>
    </row>
    <row r="10">
      <c r="A10" s="10" t="s">
        <v>113</v>
      </c>
      <c r="B10" s="13">
        <f>2400</f>
        <v>2400</v>
      </c>
      <c r="C10" s="14">
        <f>B10*C5</f>
        <v>1464.159292</v>
      </c>
      <c r="D10" s="14">
        <f>B10*C6</f>
        <v>935.840708</v>
      </c>
      <c r="E10" s="11" t="s">
        <v>114</v>
      </c>
    </row>
    <row r="11">
      <c r="A11" s="10" t="s">
        <v>115</v>
      </c>
      <c r="B11" s="13">
        <f>175.43</f>
        <v>175.43</v>
      </c>
      <c r="C11" s="14">
        <f>B11*C5</f>
        <v>107.0239436</v>
      </c>
      <c r="D11" s="14">
        <f>B11*C6</f>
        <v>68.40605642</v>
      </c>
      <c r="E11" s="11" t="s">
        <v>114</v>
      </c>
    </row>
    <row r="12">
      <c r="A12" s="10" t="s">
        <v>116</v>
      </c>
      <c r="B12" s="13">
        <f>93.51</f>
        <v>93.51</v>
      </c>
      <c r="C12" s="14">
        <f>B12*C5</f>
        <v>57.04730642</v>
      </c>
      <c r="D12" s="14">
        <f>B12*C6</f>
        <v>36.46269358</v>
      </c>
      <c r="E12" s="11" t="s">
        <v>114</v>
      </c>
    </row>
    <row r="13">
      <c r="A13" s="10" t="s">
        <v>117</v>
      </c>
      <c r="B13" s="13">
        <f>173.34</f>
        <v>173.34</v>
      </c>
      <c r="C13" s="14">
        <f>B13*C5</f>
        <v>105.7489049</v>
      </c>
      <c r="D13" s="14">
        <f>B13*C6</f>
        <v>67.59109513</v>
      </c>
      <c r="E13" s="11" t="s">
        <v>114</v>
      </c>
    </row>
    <row r="14">
      <c r="A14" s="10" t="s">
        <v>118</v>
      </c>
      <c r="B14" s="13">
        <v>134.48</v>
      </c>
      <c r="C14" s="14">
        <f>B14*C5</f>
        <v>82.04172566</v>
      </c>
      <c r="D14" s="14">
        <f>B14*C6</f>
        <v>52.43827434</v>
      </c>
      <c r="E14" s="11" t="s">
        <v>114</v>
      </c>
    </row>
    <row r="15">
      <c r="A15" s="10" t="s">
        <v>119</v>
      </c>
      <c r="B15" s="13">
        <f>97.86</f>
        <v>97.86</v>
      </c>
      <c r="C15" s="14">
        <f>B15*C5</f>
        <v>59.70109513</v>
      </c>
      <c r="D15" s="14">
        <f>B15*C6</f>
        <v>38.15890487</v>
      </c>
      <c r="E15" s="11" t="s">
        <v>114</v>
      </c>
    </row>
    <row r="16">
      <c r="A16" s="10" t="s">
        <v>120</v>
      </c>
      <c r="B16" s="13">
        <f>138.28</f>
        <v>138.28</v>
      </c>
      <c r="C16" s="14">
        <f>B16*C5</f>
        <v>84.35997788</v>
      </c>
      <c r="D16" s="14">
        <f>B16*C6</f>
        <v>53.92002212</v>
      </c>
      <c r="E16" s="11" t="s">
        <v>114</v>
      </c>
    </row>
    <row r="17">
      <c r="A17" s="10"/>
      <c r="B17" s="14"/>
      <c r="C17" s="14"/>
      <c r="D17" s="14"/>
    </row>
    <row r="18">
      <c r="A18" s="10" t="s">
        <v>121</v>
      </c>
      <c r="B18" s="14">
        <f t="shared" ref="B18:D18" si="1">Sum(B10:B16)</f>
        <v>3212.9</v>
      </c>
      <c r="C18" s="14">
        <f t="shared" si="1"/>
        <v>1960.082246</v>
      </c>
      <c r="D18" s="14">
        <f t="shared" si="1"/>
        <v>1252.817754</v>
      </c>
    </row>
    <row r="19">
      <c r="A19" s="3"/>
      <c r="B19" s="13"/>
      <c r="C19" s="13"/>
      <c r="D19" s="14"/>
      <c r="E19" s="10"/>
    </row>
    <row r="20">
      <c r="A20" s="3" t="s">
        <v>122</v>
      </c>
      <c r="B20" s="13"/>
      <c r="C20" s="13"/>
      <c r="D20" s="14"/>
      <c r="E20" s="10" t="s">
        <v>16</v>
      </c>
    </row>
    <row r="21">
      <c r="A21" s="10" t="s">
        <v>123</v>
      </c>
      <c r="B21" s="14">
        <f>B7*0.25</f>
        <v>2323.28</v>
      </c>
      <c r="C21" s="14">
        <f>B21*C5</f>
        <v>1417.355</v>
      </c>
      <c r="D21" s="14">
        <f>B21*C6</f>
        <v>905.925</v>
      </c>
      <c r="E21" s="14">
        <f>SUM(C21:D21)</f>
        <v>2323.28</v>
      </c>
    </row>
    <row r="23">
      <c r="A23" s="10" t="s">
        <v>124</v>
      </c>
      <c r="B23" s="14">
        <f t="shared" ref="B23:D23" si="2">B18+B21</f>
        <v>5536.18</v>
      </c>
      <c r="C23" s="14">
        <f t="shared" si="2"/>
        <v>3377.437246</v>
      </c>
      <c r="D23" s="14">
        <f t="shared" si="2"/>
        <v>2158.742754</v>
      </c>
    </row>
    <row r="25">
      <c r="A25" s="10" t="s">
        <v>125</v>
      </c>
      <c r="C25" s="14">
        <f>B5-C23</f>
        <v>2291.982754</v>
      </c>
      <c r="D25" s="14">
        <f>B6-D23</f>
        <v>1464.957246</v>
      </c>
    </row>
    <row r="26">
      <c r="A26" s="47">
        <v>45397.0</v>
      </c>
      <c r="C26" s="13">
        <f t="shared" ref="C26:D26" si="3">C25/2</f>
        <v>1145.991377</v>
      </c>
      <c r="D26" s="14">
        <f t="shared" si="3"/>
        <v>732.4786228</v>
      </c>
    </row>
    <row r="27">
      <c r="A27" s="47">
        <v>45412.0</v>
      </c>
      <c r="C27" s="13">
        <f t="shared" ref="C27:D27" si="4">C25/2</f>
        <v>1145.991377</v>
      </c>
      <c r="D27" s="13">
        <f t="shared" si="4"/>
        <v>732.4786228</v>
      </c>
    </row>
    <row r="29">
      <c r="A29" s="49"/>
      <c r="B29" s="49"/>
      <c r="C29" s="49"/>
      <c r="D29" s="49"/>
    </row>
    <row r="30">
      <c r="A30" s="3" t="s">
        <v>126</v>
      </c>
      <c r="B30" s="10" t="s">
        <v>127</v>
      </c>
      <c r="C30" s="10" t="s">
        <v>128</v>
      </c>
    </row>
    <row r="31">
      <c r="A31" s="10" t="s">
        <v>130</v>
      </c>
      <c r="B31" s="13">
        <f>'CC - Apr 24'!F3</f>
        <v>3290.12</v>
      </c>
      <c r="C31" s="50">
        <f>'CC - Apr 24'!F4</f>
        <v>45429</v>
      </c>
      <c r="D31" s="11" t="s">
        <v>114</v>
      </c>
    </row>
    <row r="32">
      <c r="A32" s="10" t="s">
        <v>131</v>
      </c>
      <c r="B32" s="13">
        <f>'CC - Apr 24'!B3</f>
        <v>1294.61</v>
      </c>
      <c r="C32" s="50">
        <f>'CC - Apr 24'!B4</f>
        <v>45427</v>
      </c>
      <c r="D32" s="11" t="s">
        <v>114</v>
      </c>
    </row>
    <row r="33">
      <c r="A33" s="10" t="s">
        <v>133</v>
      </c>
      <c r="B33" s="13">
        <v>3780.0</v>
      </c>
      <c r="C33" s="55">
        <v>45425.0</v>
      </c>
      <c r="D33" s="12"/>
    </row>
    <row r="34">
      <c r="A34" s="10"/>
    </row>
    <row r="36">
      <c r="A36" s="51"/>
      <c r="B36" s="51"/>
      <c r="C36" s="51"/>
    </row>
    <row r="37">
      <c r="B37" s="14"/>
      <c r="C37" s="14"/>
      <c r="D37" s="14"/>
      <c r="E37" s="14"/>
    </row>
    <row r="38">
      <c r="A38" s="10"/>
    </row>
    <row r="39">
      <c r="A39" s="10"/>
    </row>
  </sheetData>
  <dataValidations>
    <dataValidation type="list" allowBlank="1" showErrorMessage="1" sqref="E10:E16 D31:D33">
      <formula1>"PAID"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1.25"/>
    <col customWidth="1" min="10" max="10" width="18.63"/>
  </cols>
  <sheetData>
    <row r="1">
      <c r="A1" s="35" t="s">
        <v>134</v>
      </c>
      <c r="D1" s="35" t="s">
        <v>135</v>
      </c>
      <c r="F1" s="12"/>
      <c r="G1" s="35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6" t="s">
        <v>136</v>
      </c>
      <c r="B2" s="37">
        <v>45406.0</v>
      </c>
      <c r="C2" s="36"/>
      <c r="D2" s="36" t="s">
        <v>136</v>
      </c>
      <c r="E2" s="18"/>
      <c r="F2" s="37">
        <v>45406.0</v>
      </c>
      <c r="G2" s="36"/>
      <c r="H2" s="18"/>
      <c r="I2" s="37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36" t="s">
        <v>137</v>
      </c>
      <c r="B3" s="26">
        <v>1294.61</v>
      </c>
      <c r="C3" s="36"/>
      <c r="D3" s="36" t="s">
        <v>137</v>
      </c>
      <c r="E3" s="18"/>
      <c r="F3" s="26">
        <v>3290.12</v>
      </c>
      <c r="G3" s="36"/>
      <c r="H3" s="18"/>
      <c r="I3" s="2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36" t="s">
        <v>138</v>
      </c>
      <c r="B4" s="39">
        <v>45427.0</v>
      </c>
      <c r="C4" s="36"/>
      <c r="D4" s="36" t="s">
        <v>138</v>
      </c>
      <c r="E4" s="18"/>
      <c r="F4" s="39">
        <v>45429.0</v>
      </c>
      <c r="G4" s="36"/>
      <c r="H4" s="18"/>
      <c r="I4" s="39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2"/>
      <c r="C5" s="18"/>
      <c r="D5" s="1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2" t="s">
        <v>139</v>
      </c>
      <c r="C6" s="19" t="s">
        <v>140</v>
      </c>
      <c r="D6" s="18" t="s">
        <v>141</v>
      </c>
      <c r="E6" s="12" t="s">
        <v>67</v>
      </c>
      <c r="F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2"/>
      <c r="B7" s="16" t="s">
        <v>149</v>
      </c>
      <c r="C7" s="46">
        <v>45374.0</v>
      </c>
      <c r="D7" s="17">
        <v>41.2</v>
      </c>
      <c r="E7" s="42" t="s">
        <v>95</v>
      </c>
      <c r="F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2"/>
      <c r="B8" s="16" t="s">
        <v>244</v>
      </c>
      <c r="C8" s="46">
        <v>45375.0</v>
      </c>
      <c r="D8" s="17">
        <v>74.86</v>
      </c>
      <c r="E8" s="42" t="s">
        <v>90</v>
      </c>
      <c r="F8" s="4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2"/>
      <c r="B9" s="16" t="s">
        <v>145</v>
      </c>
      <c r="C9" s="46">
        <v>45376.0</v>
      </c>
      <c r="D9" s="17">
        <v>218.1</v>
      </c>
      <c r="E9" s="42" t="s">
        <v>100</v>
      </c>
      <c r="F9" s="43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2"/>
      <c r="B10" s="16" t="s">
        <v>245</v>
      </c>
      <c r="C10" s="46">
        <v>45377.0</v>
      </c>
      <c r="D10" s="17">
        <v>34.68</v>
      </c>
      <c r="E10" s="42" t="s">
        <v>98</v>
      </c>
      <c r="F10" s="4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2"/>
      <c r="B11" s="16" t="s">
        <v>161</v>
      </c>
      <c r="C11" s="46">
        <v>45377.0</v>
      </c>
      <c r="D11" s="17">
        <v>8.99</v>
      </c>
      <c r="E11" s="42" t="s">
        <v>101</v>
      </c>
      <c r="F11" s="4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2"/>
      <c r="B12" s="16" t="s">
        <v>157</v>
      </c>
      <c r="C12" s="46">
        <v>45377.0</v>
      </c>
      <c r="D12" s="17">
        <v>44.82</v>
      </c>
      <c r="E12" s="42" t="s">
        <v>95</v>
      </c>
      <c r="F12" s="4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2"/>
      <c r="B13" s="16" t="s">
        <v>146</v>
      </c>
      <c r="C13" s="46">
        <v>45377.0</v>
      </c>
      <c r="D13" s="17">
        <v>13.56</v>
      </c>
      <c r="E13" s="42" t="s">
        <v>96</v>
      </c>
      <c r="F13" s="43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2"/>
      <c r="B14" s="16" t="s">
        <v>155</v>
      </c>
      <c r="C14" s="46">
        <v>45378.0</v>
      </c>
      <c r="D14" s="17">
        <v>7.9</v>
      </c>
      <c r="E14" s="42" t="s">
        <v>104</v>
      </c>
      <c r="F14" s="4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2"/>
      <c r="B15" s="16" t="s">
        <v>246</v>
      </c>
      <c r="C15" s="46">
        <v>45378.0</v>
      </c>
      <c r="D15" s="17">
        <v>33.71</v>
      </c>
      <c r="E15" s="42" t="s">
        <v>105</v>
      </c>
      <c r="F15" s="4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2"/>
      <c r="B16" s="16" t="s">
        <v>247</v>
      </c>
      <c r="C16" s="46">
        <v>45378.0</v>
      </c>
      <c r="D16" s="17">
        <v>217.0</v>
      </c>
      <c r="E16" s="42" t="s">
        <v>90</v>
      </c>
      <c r="F16" s="4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2"/>
      <c r="B17" s="16" t="s">
        <v>147</v>
      </c>
      <c r="C17" s="46">
        <v>45378.0</v>
      </c>
      <c r="D17" s="17">
        <v>97.03</v>
      </c>
      <c r="E17" s="42" t="s">
        <v>99</v>
      </c>
      <c r="F17" s="4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2"/>
      <c r="B18" s="16" t="s">
        <v>152</v>
      </c>
      <c r="C18" s="46">
        <v>45378.0</v>
      </c>
      <c r="D18" s="17">
        <v>-1483.65</v>
      </c>
      <c r="E18" s="42" t="s">
        <v>153</v>
      </c>
      <c r="F18" s="4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2"/>
      <c r="B19" s="16" t="s">
        <v>248</v>
      </c>
      <c r="C19" s="46">
        <v>45379.0</v>
      </c>
      <c r="D19" s="17">
        <v>13.55</v>
      </c>
      <c r="E19" s="42" t="s">
        <v>98</v>
      </c>
      <c r="F19" s="4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2"/>
      <c r="B20" s="16" t="s">
        <v>150</v>
      </c>
      <c r="C20" s="46">
        <v>45379.0</v>
      </c>
      <c r="D20" s="17">
        <v>37.55</v>
      </c>
      <c r="E20" s="42" t="s">
        <v>82</v>
      </c>
      <c r="F20" s="4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2"/>
      <c r="B21" s="16" t="s">
        <v>179</v>
      </c>
      <c r="C21" s="46">
        <v>45379.0</v>
      </c>
      <c r="D21" s="17">
        <v>43.5</v>
      </c>
      <c r="E21" s="42" t="s">
        <v>105</v>
      </c>
      <c r="F21" s="4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2"/>
      <c r="B22" s="16" t="s">
        <v>249</v>
      </c>
      <c r="C22" s="46">
        <v>45381.0</v>
      </c>
      <c r="D22" s="17">
        <v>90.34</v>
      </c>
      <c r="E22" s="42" t="s">
        <v>107</v>
      </c>
      <c r="F22" s="4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2"/>
      <c r="B23" s="16" t="s">
        <v>155</v>
      </c>
      <c r="C23" s="46">
        <v>45382.0</v>
      </c>
      <c r="D23" s="17">
        <v>5.64</v>
      </c>
      <c r="E23" s="42" t="s">
        <v>104</v>
      </c>
      <c r="F23" s="4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2"/>
      <c r="B24" s="16" t="s">
        <v>250</v>
      </c>
      <c r="C24" s="46">
        <v>45382.0</v>
      </c>
      <c r="D24" s="17">
        <v>49.6</v>
      </c>
      <c r="E24" s="42" t="s">
        <v>105</v>
      </c>
      <c r="F24" s="4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2"/>
      <c r="B25" s="16" t="s">
        <v>251</v>
      </c>
      <c r="C25" s="46">
        <v>45383.0</v>
      </c>
      <c r="D25" s="17">
        <v>37.0</v>
      </c>
      <c r="E25" s="42" t="s">
        <v>82</v>
      </c>
      <c r="F25" s="4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2"/>
      <c r="B26" s="16" t="s">
        <v>252</v>
      </c>
      <c r="C26" s="46">
        <v>45383.0</v>
      </c>
      <c r="D26" s="17">
        <v>93.51</v>
      </c>
      <c r="E26" s="42" t="s">
        <v>99</v>
      </c>
      <c r="F26" s="43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2"/>
      <c r="B27" s="16" t="s">
        <v>253</v>
      </c>
      <c r="C27" s="46">
        <v>45384.0</v>
      </c>
      <c r="D27" s="17">
        <v>-15.0</v>
      </c>
      <c r="E27" s="42" t="s">
        <v>153</v>
      </c>
      <c r="F27" s="4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2"/>
      <c r="B28" s="16" t="s">
        <v>254</v>
      </c>
      <c r="C28" s="46">
        <v>45384.0</v>
      </c>
      <c r="D28" s="17">
        <v>130.43</v>
      </c>
      <c r="E28" s="42" t="s">
        <v>95</v>
      </c>
      <c r="F28" s="43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2"/>
      <c r="B29" s="16" t="s">
        <v>255</v>
      </c>
      <c r="C29" s="46">
        <v>45386.0</v>
      </c>
      <c r="D29" s="17">
        <v>135.57</v>
      </c>
      <c r="E29" s="42" t="s">
        <v>95</v>
      </c>
      <c r="F29" s="43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2"/>
      <c r="B30" s="16" t="s">
        <v>256</v>
      </c>
      <c r="C30" s="46">
        <v>45387.0</v>
      </c>
      <c r="D30" s="17">
        <v>22.6</v>
      </c>
      <c r="E30" s="42" t="s">
        <v>103</v>
      </c>
      <c r="F30" s="4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2"/>
      <c r="B31" s="16" t="s">
        <v>155</v>
      </c>
      <c r="C31" s="46">
        <v>45389.0</v>
      </c>
      <c r="D31" s="17">
        <v>10.16</v>
      </c>
      <c r="E31" s="42" t="s">
        <v>104</v>
      </c>
      <c r="F31" s="4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2"/>
      <c r="B32" s="16" t="s">
        <v>168</v>
      </c>
      <c r="C32" s="46">
        <v>45390.0</v>
      </c>
      <c r="D32" s="17">
        <v>50.0</v>
      </c>
      <c r="E32" s="42" t="s">
        <v>85</v>
      </c>
      <c r="F32" s="4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2"/>
      <c r="B33" s="16" t="s">
        <v>256</v>
      </c>
      <c r="C33" s="46">
        <v>45390.0</v>
      </c>
      <c r="D33" s="17">
        <v>111.87</v>
      </c>
      <c r="E33" s="42" t="s">
        <v>93</v>
      </c>
      <c r="F33" s="4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2"/>
      <c r="B34" s="16" t="s">
        <v>256</v>
      </c>
      <c r="C34" s="46">
        <v>45391.0</v>
      </c>
      <c r="D34" s="17">
        <v>426.12</v>
      </c>
      <c r="E34" s="42" t="s">
        <v>103</v>
      </c>
      <c r="F34" s="4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2"/>
      <c r="B35" s="16" t="s">
        <v>163</v>
      </c>
      <c r="C35" s="46">
        <v>45391.0</v>
      </c>
      <c r="D35" s="17">
        <v>96.73</v>
      </c>
      <c r="E35" s="42" t="s">
        <v>107</v>
      </c>
      <c r="F35" s="4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2"/>
      <c r="B36" s="16" t="s">
        <v>170</v>
      </c>
      <c r="C36" s="46">
        <v>45392.0</v>
      </c>
      <c r="D36" s="17">
        <v>4.51</v>
      </c>
      <c r="E36" s="42" t="s">
        <v>106</v>
      </c>
      <c r="F36" s="4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2"/>
      <c r="B37" s="16" t="s">
        <v>170</v>
      </c>
      <c r="C37" s="46">
        <v>45392.0</v>
      </c>
      <c r="D37" s="17">
        <v>4.51</v>
      </c>
      <c r="E37" s="42" t="s">
        <v>106</v>
      </c>
      <c r="F37" s="4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2"/>
      <c r="B38" s="16" t="s">
        <v>223</v>
      </c>
      <c r="C38" s="46">
        <v>45393.0</v>
      </c>
      <c r="D38" s="17">
        <v>53.96</v>
      </c>
      <c r="E38" s="42" t="s">
        <v>105</v>
      </c>
      <c r="F38" s="4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2"/>
      <c r="B39" s="16" t="s">
        <v>171</v>
      </c>
      <c r="C39" s="46">
        <v>45395.0</v>
      </c>
      <c r="D39" s="17">
        <v>11.29</v>
      </c>
      <c r="E39" s="42" t="s">
        <v>104</v>
      </c>
      <c r="F39" s="4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2"/>
      <c r="B40" s="16" t="s">
        <v>257</v>
      </c>
      <c r="C40" s="46">
        <v>45395.0</v>
      </c>
      <c r="D40" s="17">
        <v>85.84</v>
      </c>
      <c r="E40" s="42" t="s">
        <v>107</v>
      </c>
      <c r="F40" s="4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2"/>
      <c r="B41" s="16" t="s">
        <v>257</v>
      </c>
      <c r="C41" s="46">
        <v>45395.0</v>
      </c>
      <c r="D41" s="17">
        <v>85.84</v>
      </c>
      <c r="E41" s="42" t="s">
        <v>107</v>
      </c>
      <c r="F41" s="4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2"/>
      <c r="B42" s="16" t="s">
        <v>257</v>
      </c>
      <c r="C42" s="46">
        <v>45395.0</v>
      </c>
      <c r="D42" s="17">
        <v>48.43</v>
      </c>
      <c r="E42" s="42" t="s">
        <v>107</v>
      </c>
      <c r="F42" s="4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2"/>
      <c r="B43" s="16" t="s">
        <v>258</v>
      </c>
      <c r="C43" s="46">
        <v>45396.0</v>
      </c>
      <c r="D43" s="17">
        <v>26.17</v>
      </c>
      <c r="E43" s="42" t="s">
        <v>105</v>
      </c>
      <c r="F43" s="4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2"/>
      <c r="B44" s="16" t="s">
        <v>155</v>
      </c>
      <c r="C44" s="46">
        <v>45397.0</v>
      </c>
      <c r="D44" s="17">
        <v>4.51</v>
      </c>
      <c r="E44" s="42" t="s">
        <v>104</v>
      </c>
      <c r="F44" s="4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2"/>
      <c r="B45" s="16" t="s">
        <v>174</v>
      </c>
      <c r="C45" s="46">
        <v>45397.0</v>
      </c>
      <c r="D45" s="17">
        <v>200.0</v>
      </c>
      <c r="E45" s="42" t="s">
        <v>85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2"/>
      <c r="B46" s="16" t="s">
        <v>256</v>
      </c>
      <c r="C46" s="46">
        <v>45397.0</v>
      </c>
      <c r="D46" s="17">
        <v>111.87</v>
      </c>
      <c r="E46" s="42" t="s">
        <v>103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2"/>
      <c r="B47" s="16" t="s">
        <v>256</v>
      </c>
      <c r="C47" s="46">
        <v>45397.0</v>
      </c>
      <c r="D47" s="17">
        <v>11.3</v>
      </c>
      <c r="E47" s="42" t="s">
        <v>103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2"/>
      <c r="B48" s="16" t="s">
        <v>157</v>
      </c>
      <c r="C48" s="46">
        <v>45397.0</v>
      </c>
      <c r="D48" s="17">
        <v>40.67</v>
      </c>
      <c r="E48" s="42" t="s">
        <v>95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2"/>
      <c r="B49" s="16" t="s">
        <v>155</v>
      </c>
      <c r="C49" s="46">
        <v>45398.0</v>
      </c>
      <c r="D49" s="17">
        <v>11.29</v>
      </c>
      <c r="E49" s="42" t="s">
        <v>104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2"/>
      <c r="B50" s="16" t="s">
        <v>177</v>
      </c>
      <c r="C50" s="46">
        <v>45400.0</v>
      </c>
      <c r="D50" s="17">
        <v>4.99</v>
      </c>
      <c r="E50" s="42" t="s">
        <v>106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2"/>
      <c r="B51" s="16" t="s">
        <v>259</v>
      </c>
      <c r="C51" s="46">
        <v>45400.0</v>
      </c>
      <c r="D51" s="17">
        <v>49.7</v>
      </c>
      <c r="E51" s="42" t="s">
        <v>96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2"/>
      <c r="B52" s="16" t="s">
        <v>260</v>
      </c>
      <c r="C52" s="46">
        <v>45401.0</v>
      </c>
      <c r="D52" s="17">
        <v>13.41</v>
      </c>
      <c r="E52" s="42" t="s">
        <v>87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2"/>
      <c r="B53" s="16" t="s">
        <v>181</v>
      </c>
      <c r="C53" s="46">
        <v>45402.0</v>
      </c>
      <c r="D53" s="17">
        <v>39.54</v>
      </c>
      <c r="E53" s="42" t="s">
        <v>103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2"/>
      <c r="B54" s="16" t="s">
        <v>179</v>
      </c>
      <c r="C54" s="46">
        <v>45403.0</v>
      </c>
      <c r="D54" s="17">
        <v>46.09</v>
      </c>
      <c r="E54" s="42" t="s">
        <v>105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2"/>
      <c r="B55" s="16" t="s">
        <v>170</v>
      </c>
      <c r="C55" s="46">
        <v>45404.0</v>
      </c>
      <c r="D55" s="17">
        <v>14.68</v>
      </c>
      <c r="E55" s="42" t="s">
        <v>106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2"/>
      <c r="B56" s="16" t="s">
        <v>228</v>
      </c>
      <c r="C56" s="46">
        <v>45404.0</v>
      </c>
      <c r="D56" s="17">
        <v>115.26</v>
      </c>
      <c r="E56" s="42" t="s">
        <v>90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2"/>
      <c r="B57" s="16" t="s">
        <v>227</v>
      </c>
      <c r="C57" s="46">
        <v>45404.0</v>
      </c>
      <c r="D57" s="17">
        <v>37.44</v>
      </c>
      <c r="E57" s="42" t="s">
        <v>90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2"/>
      <c r="B58" s="16" t="s">
        <v>256</v>
      </c>
      <c r="C58" s="46">
        <v>45404.0</v>
      </c>
      <c r="D58" s="17">
        <v>111.87</v>
      </c>
      <c r="E58" s="42" t="s">
        <v>103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2"/>
      <c r="B59" s="16" t="s">
        <v>161</v>
      </c>
      <c r="C59" s="46">
        <v>45405.0</v>
      </c>
      <c r="D59" s="17">
        <v>8.99</v>
      </c>
      <c r="E59" s="42" t="s">
        <v>101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2"/>
      <c r="B60" s="16" t="s">
        <v>183</v>
      </c>
      <c r="C60" s="46">
        <v>45406.0</v>
      </c>
      <c r="D60" s="17">
        <v>16.94</v>
      </c>
      <c r="E60" s="42" t="s">
        <v>106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2"/>
      <c r="B61" s="16" t="s">
        <v>236</v>
      </c>
      <c r="C61" s="46">
        <v>45400.0</v>
      </c>
      <c r="D61" s="17">
        <v>937.06</v>
      </c>
      <c r="E61" s="42" t="s">
        <v>103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2"/>
      <c r="B62" s="16" t="s">
        <v>242</v>
      </c>
      <c r="C62" s="46">
        <v>45399.0</v>
      </c>
      <c r="D62" s="17">
        <v>11.84</v>
      </c>
      <c r="E62" s="42" t="s">
        <v>105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2"/>
      <c r="B63" s="16" t="s">
        <v>236</v>
      </c>
      <c r="C63" s="46">
        <v>45399.0</v>
      </c>
      <c r="D63" s="17">
        <v>99.54</v>
      </c>
      <c r="E63" s="42" t="s">
        <v>103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2"/>
      <c r="B64" s="16" t="s">
        <v>261</v>
      </c>
      <c r="C64" s="46">
        <v>45399.0</v>
      </c>
      <c r="D64" s="17">
        <v>31.95</v>
      </c>
      <c r="E64" s="42" t="s">
        <v>105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2"/>
      <c r="B65" s="16" t="s">
        <v>189</v>
      </c>
      <c r="C65" s="46">
        <v>45398.0</v>
      </c>
      <c r="D65" s="17">
        <v>12.5</v>
      </c>
      <c r="E65" s="42" t="s">
        <v>105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2"/>
      <c r="B66" s="16" t="s">
        <v>189</v>
      </c>
      <c r="C66" s="46">
        <v>45397.0</v>
      </c>
      <c r="D66" s="17">
        <v>10.95</v>
      </c>
      <c r="E66" s="42" t="s">
        <v>105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2"/>
      <c r="B67" s="16" t="s">
        <v>262</v>
      </c>
      <c r="C67" s="46">
        <v>45388.0</v>
      </c>
      <c r="D67" s="17">
        <v>59.35</v>
      </c>
      <c r="E67" s="42" t="s">
        <v>89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12"/>
      <c r="B68" s="16" t="s">
        <v>194</v>
      </c>
      <c r="C68" s="46">
        <v>45385.0</v>
      </c>
      <c r="D68" s="17">
        <v>-3.13</v>
      </c>
      <c r="E68" s="42" t="s">
        <v>153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12"/>
      <c r="B69" s="16" t="s">
        <v>242</v>
      </c>
      <c r="C69" s="46">
        <v>45378.0</v>
      </c>
      <c r="D69" s="17">
        <v>17.15</v>
      </c>
      <c r="E69" s="42" t="s">
        <v>105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12"/>
      <c r="B70" s="16" t="s">
        <v>197</v>
      </c>
      <c r="C70" s="46">
        <v>45376.0</v>
      </c>
      <c r="D70" s="17">
        <v>-824.54</v>
      </c>
      <c r="E70" s="42" t="s">
        <v>153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>
      <c r="A71" s="12"/>
      <c r="B71" s="16" t="s">
        <v>263</v>
      </c>
      <c r="C71" s="46">
        <v>45375.0</v>
      </c>
      <c r="D71" s="17">
        <v>41.3</v>
      </c>
      <c r="E71" s="42" t="s">
        <v>105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>
      <c r="A72" s="12"/>
      <c r="B72" s="16" t="s">
        <v>264</v>
      </c>
      <c r="C72" s="46">
        <v>45374.0</v>
      </c>
      <c r="D72" s="17">
        <v>22.3</v>
      </c>
      <c r="E72" s="42" t="s">
        <v>105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12"/>
      <c r="B73" s="16" t="s">
        <v>265</v>
      </c>
      <c r="C73" s="46">
        <v>45374.0</v>
      </c>
      <c r="D73" s="17">
        <v>53.8</v>
      </c>
      <c r="E73" s="42" t="s">
        <v>96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  <row r="103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</row>
    <row r="1035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</row>
    <row r="1037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</row>
    <row r="1039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</row>
  </sheetData>
  <mergeCells count="3">
    <mergeCell ref="A1:B1"/>
    <mergeCell ref="D1:E1"/>
    <mergeCell ref="G1:H1"/>
  </mergeCells>
  <dataValidations>
    <dataValidation type="list" allowBlank="1" sqref="E7:E16 E19:E73">
      <formula1>"PAYMENT,DINE IN,TAKEOUT,DELIVERY,COFFEE,GROCERIES,INTERNET,MOBILE,SUBSCRIPTIONS,HEALTH,CANNABIS,ALCOHOL,GAS,PARKING,NEWSPAPER,CLOTHES,TECHNOLOGY,FURNITURE,CHARITY,ENTERTAINMENT,PETS,HOTELS,TRANSPORTATION,HOUSEHOLD,GIFTS,FLIGHTS,PARAMOUNT"</formula1>
    </dataValidation>
    <dataValidation type="list" allowBlank="1" sqref="E17:E18">
      <formula1>"OTHER/NONE,PAYMENT,DINE IN,TAKEOUT,DELIVERY,COFFEE,GROCERIES,INTERNET,MOBILE,SUBSCRIPTION SERVICES,BENEFITS,CANNABIS,ALCOHOL,GAS,PARKING,NEWSPAPER,CLOTHES,TECHNOLOGY,FURNITURE,CHARITY,ENTERTAINMENT,CATS,HOTELS,TRANSPORTATION"</formula1>
    </dataValidation>
  </dataValidation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3" t="s">
        <v>108</v>
      </c>
      <c r="B1" s="10" t="s">
        <v>8</v>
      </c>
    </row>
    <row r="2">
      <c r="A2" s="3"/>
      <c r="B2" s="47"/>
      <c r="D2" s="47"/>
    </row>
    <row r="3">
      <c r="A3" s="3" t="s">
        <v>109</v>
      </c>
      <c r="B3" s="47"/>
      <c r="D3" s="47"/>
    </row>
    <row r="4">
      <c r="A4" s="10" t="s">
        <v>110</v>
      </c>
      <c r="B4" s="13">
        <f>739.74</f>
        <v>739.74</v>
      </c>
      <c r="C4" s="48"/>
    </row>
    <row r="5">
      <c r="A5" s="10" t="s">
        <v>17</v>
      </c>
      <c r="B5" s="28">
        <f>2834.71*2</f>
        <v>5669.42</v>
      </c>
      <c r="C5" s="48">
        <f>B5/B7</f>
        <v>0.6100663717</v>
      </c>
    </row>
    <row r="6">
      <c r="A6" s="10" t="s">
        <v>23</v>
      </c>
      <c r="B6" s="28">
        <f>1811.85*2</f>
        <v>3623.7</v>
      </c>
      <c r="C6" s="48">
        <f>B6/B7</f>
        <v>0.3899336283</v>
      </c>
    </row>
    <row r="7">
      <c r="A7" s="10" t="s">
        <v>111</v>
      </c>
      <c r="B7" s="14">
        <f>SUM(B5:B6)</f>
        <v>9293.12</v>
      </c>
    </row>
    <row r="9">
      <c r="A9" s="3" t="s">
        <v>112</v>
      </c>
      <c r="C9" s="10" t="s">
        <v>17</v>
      </c>
      <c r="D9" s="10" t="s">
        <v>23</v>
      </c>
    </row>
    <row r="10">
      <c r="A10" s="10" t="s">
        <v>113</v>
      </c>
      <c r="B10" s="13">
        <f>2400</f>
        <v>2400</v>
      </c>
      <c r="C10" s="14">
        <f>B10*C5</f>
        <v>1464.159292</v>
      </c>
      <c r="D10" s="14">
        <f>B10*C6</f>
        <v>935.840708</v>
      </c>
      <c r="E10" s="57">
        <v>45078.0</v>
      </c>
    </row>
    <row r="11">
      <c r="A11" s="10" t="s">
        <v>115</v>
      </c>
      <c r="B11" s="13">
        <f>175.43</f>
        <v>175.43</v>
      </c>
      <c r="C11" s="14">
        <f>B11*C5</f>
        <v>107.0239436</v>
      </c>
      <c r="D11" s="14">
        <f>B11*C6</f>
        <v>68.40605642</v>
      </c>
    </row>
    <row r="12">
      <c r="A12" s="10" t="s">
        <v>116</v>
      </c>
      <c r="B12" s="13">
        <f>93.51</f>
        <v>93.51</v>
      </c>
      <c r="C12" s="14">
        <f>B12*C5</f>
        <v>57.04730642</v>
      </c>
      <c r="D12" s="14">
        <f>B12*C6</f>
        <v>36.46269358</v>
      </c>
      <c r="E12" s="47">
        <v>45074.0</v>
      </c>
    </row>
    <row r="13">
      <c r="A13" s="10" t="s">
        <v>117</v>
      </c>
      <c r="B13" s="13">
        <v>81.46</v>
      </c>
      <c r="C13" s="14">
        <f>B13*C5</f>
        <v>49.69600664</v>
      </c>
      <c r="D13" s="14">
        <f>B13*C6</f>
        <v>31.76399336</v>
      </c>
      <c r="E13" s="47">
        <v>45066.0</v>
      </c>
    </row>
    <row r="14">
      <c r="A14" s="10" t="s">
        <v>118</v>
      </c>
      <c r="B14" s="13">
        <v>134.48</v>
      </c>
      <c r="C14" s="14">
        <f>B14*C5</f>
        <v>82.04172566</v>
      </c>
      <c r="D14" s="14">
        <f>B14*C6</f>
        <v>52.43827434</v>
      </c>
      <c r="E14" s="57"/>
    </row>
    <row r="15">
      <c r="A15" s="10" t="s">
        <v>119</v>
      </c>
      <c r="B15" s="58">
        <f>54.72</f>
        <v>54.72</v>
      </c>
      <c r="C15" s="14">
        <f>B15*C5</f>
        <v>33.38283186</v>
      </c>
      <c r="D15" s="14">
        <f>B15*C6</f>
        <v>21.33716814</v>
      </c>
      <c r="E15" s="57">
        <v>45442.0</v>
      </c>
      <c r="F15" s="10" t="s">
        <v>114</v>
      </c>
    </row>
    <row r="16">
      <c r="A16" s="10" t="s">
        <v>120</v>
      </c>
      <c r="B16" s="59">
        <f>127.17</f>
        <v>127.17</v>
      </c>
      <c r="C16" s="14">
        <f>B16*C5</f>
        <v>77.58214049</v>
      </c>
      <c r="D16" s="14">
        <f>B16*C6</f>
        <v>49.58785951</v>
      </c>
      <c r="E16" s="57">
        <v>45081.0</v>
      </c>
      <c r="F16" s="10" t="s">
        <v>114</v>
      </c>
    </row>
    <row r="17">
      <c r="B17" s="14"/>
      <c r="C17" s="14"/>
      <c r="D17" s="14"/>
    </row>
    <row r="18">
      <c r="A18" s="10" t="s">
        <v>121</v>
      </c>
      <c r="B18" s="14">
        <f t="shared" ref="B18:D18" si="1">Sum(B10:B16)</f>
        <v>3066.77</v>
      </c>
      <c r="C18" s="14">
        <f t="shared" si="1"/>
        <v>1870.933247</v>
      </c>
      <c r="D18" s="14">
        <f t="shared" si="1"/>
        <v>1195.836753</v>
      </c>
    </row>
    <row r="19">
      <c r="B19" s="14"/>
      <c r="C19" s="14"/>
      <c r="D19" s="14"/>
    </row>
    <row r="20">
      <c r="A20" s="3" t="s">
        <v>122</v>
      </c>
      <c r="B20" s="13"/>
      <c r="C20" s="13"/>
      <c r="D20" s="14"/>
      <c r="E20" s="10" t="s">
        <v>16</v>
      </c>
    </row>
    <row r="21">
      <c r="A21" s="10" t="s">
        <v>123</v>
      </c>
      <c r="B21" s="14">
        <f>B7*0.25</f>
        <v>2323.28</v>
      </c>
      <c r="C21" s="14">
        <f>B21*C5</f>
        <v>1417.355</v>
      </c>
      <c r="D21" s="14">
        <f>B21*C6</f>
        <v>905.925</v>
      </c>
      <c r="E21" s="14">
        <f>SUM(C21:D21)</f>
        <v>2323.28</v>
      </c>
    </row>
    <row r="23">
      <c r="A23" s="10" t="s">
        <v>124</v>
      </c>
      <c r="B23" s="14">
        <f t="shared" ref="B23:D23" si="2">B18+B21</f>
        <v>5390.05</v>
      </c>
      <c r="C23" s="14">
        <f t="shared" si="2"/>
        <v>3288.288247</v>
      </c>
      <c r="D23" s="14">
        <f t="shared" si="2"/>
        <v>2101.761753</v>
      </c>
    </row>
    <row r="25">
      <c r="A25" s="10" t="s">
        <v>125</v>
      </c>
      <c r="C25" s="14">
        <f>B5-C23</f>
        <v>2381.131753</v>
      </c>
      <c r="D25" s="14">
        <f>B6-D23</f>
        <v>1521.938247</v>
      </c>
    </row>
    <row r="26">
      <c r="A26" s="47">
        <v>45427.0</v>
      </c>
      <c r="C26" s="14">
        <f t="shared" ref="C26:D26" si="3">C25/2</f>
        <v>1190.565877</v>
      </c>
      <c r="D26" s="14">
        <f t="shared" si="3"/>
        <v>760.9691233</v>
      </c>
    </row>
    <row r="27">
      <c r="A27" s="47">
        <v>45442.0</v>
      </c>
      <c r="C27" s="14">
        <f t="shared" ref="C27:D27" si="4">C25/2</f>
        <v>1190.565877</v>
      </c>
      <c r="D27" s="13">
        <f t="shared" si="4"/>
        <v>760.9691233</v>
      </c>
    </row>
    <row r="29">
      <c r="A29" s="49"/>
      <c r="B29" s="49"/>
      <c r="C29" s="49"/>
      <c r="D29" s="49"/>
    </row>
    <row r="30">
      <c r="A30" s="3" t="s">
        <v>126</v>
      </c>
      <c r="C30" s="10" t="s">
        <v>128</v>
      </c>
    </row>
    <row r="31">
      <c r="A31" s="10" t="s">
        <v>130</v>
      </c>
      <c r="B31" s="13" t="str">
        <f>'CC - May 24'!I3</f>
        <v/>
      </c>
      <c r="C31" s="47">
        <v>45092.0</v>
      </c>
    </row>
    <row r="32">
      <c r="A32" s="10" t="s">
        <v>131</v>
      </c>
      <c r="B32" s="13" t="str">
        <f>'CC - May 24'!B3</f>
        <v/>
      </c>
      <c r="C32" s="47">
        <v>45089.0</v>
      </c>
    </row>
    <row r="39">
      <c r="B39" s="14"/>
      <c r="C39" s="14"/>
      <c r="D39" s="14"/>
      <c r="E39" s="14"/>
      <c r="F39" s="14"/>
    </row>
    <row r="40">
      <c r="A40" s="10"/>
    </row>
    <row r="41">
      <c r="A41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9" max="9" width="11.25"/>
    <col customWidth="1" min="10" max="10" width="18.63"/>
  </cols>
  <sheetData>
    <row r="1">
      <c r="A1" s="35" t="s">
        <v>134</v>
      </c>
      <c r="D1" s="35" t="s">
        <v>135</v>
      </c>
      <c r="F1" s="12"/>
      <c r="G1" s="35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6" t="s">
        <v>136</v>
      </c>
      <c r="B2" s="37">
        <v>45070.0</v>
      </c>
      <c r="C2" s="36"/>
      <c r="D2" s="36" t="s">
        <v>136</v>
      </c>
      <c r="E2" s="18"/>
      <c r="F2" s="37">
        <v>45070.0</v>
      </c>
      <c r="G2" s="36"/>
      <c r="H2" s="18"/>
      <c r="I2" s="37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36" t="s">
        <v>137</v>
      </c>
      <c r="B3" s="26"/>
      <c r="C3" s="36"/>
      <c r="D3" s="36" t="s">
        <v>137</v>
      </c>
      <c r="E3" s="18"/>
      <c r="F3" s="26"/>
      <c r="G3" s="36"/>
      <c r="H3" s="18"/>
      <c r="I3" s="2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36" t="s">
        <v>138</v>
      </c>
      <c r="B4" s="39">
        <v>45092.0</v>
      </c>
      <c r="C4" s="36"/>
      <c r="D4" s="36" t="s">
        <v>138</v>
      </c>
      <c r="E4" s="18"/>
      <c r="F4" s="39">
        <v>45094.0</v>
      </c>
      <c r="G4" s="36"/>
      <c r="H4" s="18"/>
      <c r="I4" s="39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2"/>
      <c r="C5" s="18"/>
      <c r="D5" s="1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2" t="s">
        <v>139</v>
      </c>
      <c r="C6" s="19" t="s">
        <v>140</v>
      </c>
      <c r="D6" s="18" t="s">
        <v>141</v>
      </c>
      <c r="E6" s="12" t="s">
        <v>67</v>
      </c>
      <c r="F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2"/>
      <c r="B7" s="16" t="s">
        <v>145</v>
      </c>
      <c r="C7" s="46">
        <v>45407.0</v>
      </c>
      <c r="D7" s="17">
        <v>169.17</v>
      </c>
      <c r="E7" s="42" t="s">
        <v>100</v>
      </c>
      <c r="F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2"/>
      <c r="B8" s="16" t="s">
        <v>202</v>
      </c>
      <c r="C8" s="46">
        <v>45407.0</v>
      </c>
      <c r="D8" s="17">
        <v>101.69</v>
      </c>
      <c r="E8" s="42" t="s">
        <v>103</v>
      </c>
      <c r="F8" s="4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2"/>
      <c r="B9" s="16" t="s">
        <v>266</v>
      </c>
      <c r="C9" s="46">
        <v>45407.0</v>
      </c>
      <c r="D9" s="17">
        <v>59.78</v>
      </c>
      <c r="E9" s="42" t="s">
        <v>105</v>
      </c>
      <c r="F9" s="43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2"/>
      <c r="B10" s="16" t="s">
        <v>267</v>
      </c>
      <c r="C10" s="46">
        <v>45408.0</v>
      </c>
      <c r="D10" s="17">
        <v>4270.0</v>
      </c>
      <c r="E10" s="42" t="s">
        <v>96</v>
      </c>
      <c r="F10" s="4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2"/>
      <c r="B11" s="16" t="s">
        <v>157</v>
      </c>
      <c r="C11" s="46">
        <v>45408.0</v>
      </c>
      <c r="D11" s="17">
        <v>46.4</v>
      </c>
      <c r="E11" s="42" t="s">
        <v>95</v>
      </c>
      <c r="F11" s="4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2"/>
      <c r="B12" s="16" t="s">
        <v>146</v>
      </c>
      <c r="C12" s="46">
        <v>45408.0</v>
      </c>
      <c r="D12" s="17">
        <v>13.56</v>
      </c>
      <c r="E12" s="42" t="s">
        <v>96</v>
      </c>
      <c r="F12" s="4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2"/>
      <c r="B13" s="16" t="s">
        <v>155</v>
      </c>
      <c r="C13" s="46">
        <v>45409.0</v>
      </c>
      <c r="D13" s="17">
        <v>7.9</v>
      </c>
      <c r="E13" s="42" t="s">
        <v>268</v>
      </c>
      <c r="F13" s="43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2"/>
      <c r="B14" s="16" t="s">
        <v>181</v>
      </c>
      <c r="C14" s="46">
        <v>45409.0</v>
      </c>
      <c r="D14" s="17">
        <v>111.76</v>
      </c>
      <c r="E14" s="42" t="s">
        <v>103</v>
      </c>
      <c r="F14" s="4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2"/>
      <c r="B15" s="16" t="s">
        <v>157</v>
      </c>
      <c r="C15" s="46">
        <v>45410.0</v>
      </c>
      <c r="D15" s="17">
        <v>37.15</v>
      </c>
      <c r="E15" s="42" t="s">
        <v>95</v>
      </c>
      <c r="F15" s="4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2"/>
      <c r="B16" s="16" t="s">
        <v>269</v>
      </c>
      <c r="C16" s="46">
        <v>45411.0</v>
      </c>
      <c r="D16" s="17">
        <v>153.0</v>
      </c>
      <c r="E16" s="42" t="s">
        <v>87</v>
      </c>
      <c r="F16" s="4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2"/>
      <c r="B17" s="16" t="s">
        <v>152</v>
      </c>
      <c r="C17" s="46">
        <v>45411.0</v>
      </c>
      <c r="D17" s="17">
        <v>-3290.12</v>
      </c>
      <c r="E17" s="42" t="s">
        <v>153</v>
      </c>
      <c r="F17" s="4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2"/>
      <c r="B18" s="12" t="s">
        <v>155</v>
      </c>
      <c r="C18" s="46">
        <v>45412.0</v>
      </c>
      <c r="D18" s="17">
        <v>5.64</v>
      </c>
      <c r="E18" s="42" t="s">
        <v>268</v>
      </c>
      <c r="F18" s="4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2"/>
      <c r="B19" s="12" t="s">
        <v>266</v>
      </c>
      <c r="C19" s="46">
        <v>45412.0</v>
      </c>
      <c r="D19" s="17">
        <v>59.78</v>
      </c>
      <c r="E19" s="42" t="s">
        <v>105</v>
      </c>
      <c r="F19" s="4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2"/>
      <c r="B20" s="12" t="s">
        <v>271</v>
      </c>
      <c r="C20" s="46">
        <v>45413.0</v>
      </c>
      <c r="D20" s="17">
        <v>15.45</v>
      </c>
      <c r="E20" s="42" t="s">
        <v>105</v>
      </c>
      <c r="F20" s="4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2"/>
      <c r="B21" s="12" t="s">
        <v>154</v>
      </c>
      <c r="C21" s="46">
        <v>45413.0</v>
      </c>
      <c r="D21" s="17">
        <v>67.39</v>
      </c>
      <c r="E21" s="42" t="s">
        <v>93</v>
      </c>
      <c r="F21" s="4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2"/>
      <c r="B22" s="12" t="s">
        <v>170</v>
      </c>
      <c r="C22" s="46">
        <v>45414.0</v>
      </c>
      <c r="D22" s="17">
        <v>18.07</v>
      </c>
      <c r="E22" s="42" t="s">
        <v>106</v>
      </c>
      <c r="F22" s="4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2"/>
      <c r="B23" s="12" t="s">
        <v>252</v>
      </c>
      <c r="C23" s="46">
        <v>45414.0</v>
      </c>
      <c r="D23" s="17">
        <v>90.39</v>
      </c>
      <c r="E23" s="42" t="s">
        <v>99</v>
      </c>
      <c r="F23" s="4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2"/>
      <c r="B24" s="12" t="s">
        <v>272</v>
      </c>
      <c r="C24" s="46">
        <v>45415.0</v>
      </c>
      <c r="D24" s="17">
        <v>118.05</v>
      </c>
      <c r="E24" s="42" t="s">
        <v>98</v>
      </c>
      <c r="F24" s="4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2"/>
      <c r="B25" s="12" t="s">
        <v>273</v>
      </c>
      <c r="C25" s="46">
        <v>45415.0</v>
      </c>
      <c r="D25" s="17">
        <v>186.04</v>
      </c>
      <c r="E25" s="42" t="s">
        <v>89</v>
      </c>
      <c r="F25" s="4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2"/>
      <c r="B26" s="12" t="s">
        <v>274</v>
      </c>
      <c r="C26" s="46">
        <v>45415.0</v>
      </c>
      <c r="D26" s="17">
        <v>15.61</v>
      </c>
      <c r="E26" s="42" t="s">
        <v>96</v>
      </c>
      <c r="F26" s="43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2"/>
      <c r="B27" s="12" t="s">
        <v>158</v>
      </c>
      <c r="C27" s="46">
        <v>45415.0</v>
      </c>
      <c r="D27" s="17">
        <v>2.29</v>
      </c>
      <c r="E27" s="42" t="s">
        <v>96</v>
      </c>
      <c r="F27" s="4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2"/>
      <c r="B28" s="16" t="s">
        <v>275</v>
      </c>
      <c r="C28" s="46">
        <v>45416.0</v>
      </c>
      <c r="D28" s="17">
        <v>35.56</v>
      </c>
      <c r="E28" s="42" t="s">
        <v>98</v>
      </c>
      <c r="F28" s="43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2"/>
      <c r="B29" s="16" t="s">
        <v>150</v>
      </c>
      <c r="C29" s="46">
        <v>45416.0</v>
      </c>
      <c r="D29" s="17">
        <v>20.3</v>
      </c>
      <c r="E29" s="42" t="s">
        <v>82</v>
      </c>
      <c r="F29" s="43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2"/>
      <c r="B30" s="16" t="s">
        <v>181</v>
      </c>
      <c r="C30" s="46">
        <v>45416.0</v>
      </c>
      <c r="D30" s="17">
        <v>39.44</v>
      </c>
      <c r="E30" s="42" t="s">
        <v>103</v>
      </c>
      <c r="F30" s="4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2"/>
      <c r="B31" s="16" t="s">
        <v>276</v>
      </c>
      <c r="C31" s="46">
        <v>45418.0</v>
      </c>
      <c r="D31" s="17">
        <v>41.17</v>
      </c>
      <c r="E31" s="42" t="s">
        <v>105</v>
      </c>
      <c r="F31" s="4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2"/>
      <c r="B32" s="16" t="s">
        <v>155</v>
      </c>
      <c r="C32" s="46">
        <v>45419.0</v>
      </c>
      <c r="D32" s="17">
        <v>10.16</v>
      </c>
      <c r="E32" s="42" t="s">
        <v>268</v>
      </c>
      <c r="F32" s="4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2"/>
      <c r="B33" s="16" t="s">
        <v>277</v>
      </c>
      <c r="C33" s="46">
        <v>45419.0</v>
      </c>
      <c r="D33" s="17">
        <v>64.39</v>
      </c>
      <c r="E33" s="42" t="s">
        <v>98</v>
      </c>
      <c r="F33" s="4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2"/>
      <c r="B34" s="16" t="s">
        <v>278</v>
      </c>
      <c r="C34" s="46">
        <v>45419.0</v>
      </c>
      <c r="D34" s="17">
        <v>22.59</v>
      </c>
      <c r="E34" s="42" t="s">
        <v>98</v>
      </c>
      <c r="F34" s="4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2"/>
      <c r="B35" s="16" t="s">
        <v>256</v>
      </c>
      <c r="C35" s="46">
        <v>45419.0</v>
      </c>
      <c r="D35" s="17">
        <v>111.87</v>
      </c>
      <c r="E35" s="42" t="s">
        <v>103</v>
      </c>
      <c r="F35" s="4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2"/>
      <c r="B36" s="16" t="s">
        <v>256</v>
      </c>
      <c r="C36" s="46">
        <v>45419.0</v>
      </c>
      <c r="D36" s="17">
        <v>20.0</v>
      </c>
      <c r="E36" s="42" t="s">
        <v>103</v>
      </c>
      <c r="F36" s="4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2"/>
      <c r="B37" s="16" t="s">
        <v>168</v>
      </c>
      <c r="C37" s="46">
        <v>45420.0</v>
      </c>
      <c r="D37" s="17">
        <v>50.0</v>
      </c>
      <c r="E37" s="42" t="s">
        <v>85</v>
      </c>
      <c r="F37" s="4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2"/>
      <c r="B38" s="16" t="s">
        <v>157</v>
      </c>
      <c r="C38" s="46">
        <v>45421.0</v>
      </c>
      <c r="D38" s="17">
        <v>57.6</v>
      </c>
      <c r="E38" s="42" t="s">
        <v>95</v>
      </c>
      <c r="F38" s="4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2"/>
      <c r="B39" s="16" t="s">
        <v>170</v>
      </c>
      <c r="C39" s="46">
        <v>45422.0</v>
      </c>
      <c r="D39" s="17">
        <v>4.51</v>
      </c>
      <c r="E39" s="42" t="s">
        <v>106</v>
      </c>
      <c r="F39" s="4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2"/>
      <c r="B40" s="16" t="s">
        <v>170</v>
      </c>
      <c r="C40" s="46">
        <v>45422.0</v>
      </c>
      <c r="D40" s="17">
        <v>4.51</v>
      </c>
      <c r="E40" s="42" t="s">
        <v>106</v>
      </c>
      <c r="F40" s="4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2"/>
      <c r="B41" s="16" t="s">
        <v>150</v>
      </c>
      <c r="C41" s="46">
        <v>45422.0</v>
      </c>
      <c r="D41" s="17">
        <v>36.85</v>
      </c>
      <c r="E41" s="42" t="s">
        <v>82</v>
      </c>
      <c r="F41" s="4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2"/>
      <c r="B42" s="16" t="s">
        <v>279</v>
      </c>
      <c r="C42" s="46">
        <v>45423.0</v>
      </c>
      <c r="D42" s="17">
        <v>219.13</v>
      </c>
      <c r="E42" s="42" t="s">
        <v>89</v>
      </c>
      <c r="F42" s="4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2"/>
      <c r="B43" s="16" t="s">
        <v>280</v>
      </c>
      <c r="C43" s="46">
        <v>45423.0</v>
      </c>
      <c r="D43" s="17">
        <v>66.04</v>
      </c>
      <c r="E43" s="42" t="s">
        <v>93</v>
      </c>
      <c r="F43" s="4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2"/>
      <c r="B44" s="16" t="s">
        <v>272</v>
      </c>
      <c r="C44" s="46">
        <v>45424.0</v>
      </c>
      <c r="D44" s="17">
        <v>192.96</v>
      </c>
      <c r="E44" s="42" t="s">
        <v>98</v>
      </c>
      <c r="F44" s="4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2"/>
      <c r="B45" s="16" t="s">
        <v>281</v>
      </c>
      <c r="C45" s="46">
        <v>45424.0</v>
      </c>
      <c r="D45" s="17">
        <v>30.68</v>
      </c>
      <c r="E45" s="42" t="s">
        <v>105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2"/>
      <c r="B46" s="16" t="s">
        <v>171</v>
      </c>
      <c r="C46" s="46">
        <v>45425.0</v>
      </c>
      <c r="D46" s="17">
        <v>11.29</v>
      </c>
      <c r="E46" s="42" t="s">
        <v>268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2"/>
      <c r="B47" s="16" t="s">
        <v>256</v>
      </c>
      <c r="C47" s="46">
        <v>45425.0</v>
      </c>
      <c r="D47" s="17">
        <v>145.77</v>
      </c>
      <c r="E47" s="42" t="s">
        <v>103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2"/>
      <c r="B48" s="16" t="s">
        <v>179</v>
      </c>
      <c r="C48" s="46">
        <v>45425.0</v>
      </c>
      <c r="D48" s="17">
        <v>49.77</v>
      </c>
      <c r="E48" s="42" t="s">
        <v>105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2"/>
      <c r="B49" s="16" t="s">
        <v>155</v>
      </c>
      <c r="C49" s="46">
        <v>45427.0</v>
      </c>
      <c r="D49" s="17">
        <v>4.51</v>
      </c>
      <c r="E49" s="42" t="s">
        <v>268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2"/>
      <c r="B50" s="16" t="s">
        <v>174</v>
      </c>
      <c r="C50" s="46">
        <v>45427.0</v>
      </c>
      <c r="D50" s="17">
        <v>200.0</v>
      </c>
      <c r="E50" s="42" t="s">
        <v>85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2"/>
      <c r="B51" s="16" t="s">
        <v>155</v>
      </c>
      <c r="C51" s="46">
        <v>45428.0</v>
      </c>
      <c r="D51" s="17">
        <v>12.42</v>
      </c>
      <c r="E51" s="42" t="s">
        <v>268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2"/>
      <c r="B52" s="16" t="s">
        <v>157</v>
      </c>
      <c r="C52" s="46">
        <v>45428.0</v>
      </c>
      <c r="D52" s="17">
        <v>129.91</v>
      </c>
      <c r="E52" s="42" t="s">
        <v>95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2"/>
      <c r="B53" s="16" t="s">
        <v>282</v>
      </c>
      <c r="C53" s="46">
        <v>45429.0</v>
      </c>
      <c r="D53" s="17">
        <v>5.58</v>
      </c>
      <c r="E53" s="42" t="s">
        <v>105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2"/>
      <c r="B54" s="16" t="s">
        <v>283</v>
      </c>
      <c r="C54" s="46">
        <v>45429.0</v>
      </c>
      <c r="D54" s="17">
        <v>11.18</v>
      </c>
      <c r="E54" s="42" t="s">
        <v>105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2"/>
      <c r="B55" s="16" t="s">
        <v>284</v>
      </c>
      <c r="C55" s="46">
        <v>45429.0</v>
      </c>
      <c r="D55" s="17">
        <v>13.62</v>
      </c>
      <c r="E55" s="42" t="s">
        <v>105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2"/>
      <c r="B56" s="16" t="s">
        <v>285</v>
      </c>
      <c r="C56" s="46">
        <v>45429.0</v>
      </c>
      <c r="D56" s="17">
        <v>6.76</v>
      </c>
      <c r="E56" s="42" t="s">
        <v>105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2"/>
      <c r="B57" s="16" t="s">
        <v>286</v>
      </c>
      <c r="C57" s="46">
        <v>45429.0</v>
      </c>
      <c r="D57" s="17">
        <v>18.11</v>
      </c>
      <c r="E57" s="42" t="s">
        <v>105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2"/>
      <c r="B58" s="16" t="s">
        <v>287</v>
      </c>
      <c r="C58" s="46">
        <v>45431.0</v>
      </c>
      <c r="D58" s="17">
        <v>55.27</v>
      </c>
      <c r="E58" s="42" t="s">
        <v>82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2"/>
      <c r="B59" s="16" t="s">
        <v>256</v>
      </c>
      <c r="C59" s="46">
        <v>45432.0</v>
      </c>
      <c r="D59" s="17">
        <v>145.77</v>
      </c>
      <c r="E59" s="42" t="s">
        <v>103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2"/>
      <c r="B60" s="16" t="s">
        <v>288</v>
      </c>
      <c r="C60" s="46">
        <v>45433.0</v>
      </c>
      <c r="D60" s="17">
        <v>4.2</v>
      </c>
      <c r="E60" s="42" t="s">
        <v>270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2"/>
      <c r="B61" s="16" t="s">
        <v>161</v>
      </c>
      <c r="C61" s="46">
        <v>45433.0</v>
      </c>
      <c r="D61" s="17">
        <v>8.99</v>
      </c>
      <c r="E61" s="42" t="s">
        <v>101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1"/>
      <c r="B62" s="16" t="s">
        <v>170</v>
      </c>
      <c r="C62" s="46">
        <v>45434.0</v>
      </c>
      <c r="D62" s="17">
        <v>16.94</v>
      </c>
      <c r="E62" s="42" t="s">
        <v>106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2"/>
      <c r="B63" s="16" t="s">
        <v>170</v>
      </c>
      <c r="C63" s="46">
        <v>45434.0</v>
      </c>
      <c r="D63" s="17">
        <v>18.07</v>
      </c>
      <c r="E63" s="42" t="s">
        <v>106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2"/>
      <c r="B64" s="16" t="s">
        <v>170</v>
      </c>
      <c r="C64" s="46">
        <v>45434.0</v>
      </c>
      <c r="D64" s="17">
        <v>14.68</v>
      </c>
      <c r="E64" s="42" t="s">
        <v>106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2"/>
      <c r="B65" s="16" t="s">
        <v>266</v>
      </c>
      <c r="C65" s="46">
        <v>45434.0</v>
      </c>
      <c r="D65" s="17">
        <v>59.78</v>
      </c>
      <c r="E65" s="42" t="s">
        <v>105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2"/>
      <c r="B66" s="16" t="s">
        <v>289</v>
      </c>
      <c r="C66" s="46">
        <v>45435.0</v>
      </c>
      <c r="D66" s="17">
        <v>46.0</v>
      </c>
      <c r="E66" s="42" t="s">
        <v>105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2"/>
      <c r="B67" s="16" t="s">
        <v>290</v>
      </c>
      <c r="C67" s="46">
        <v>45436.0</v>
      </c>
      <c r="D67" s="17">
        <v>112.58</v>
      </c>
      <c r="E67" s="42" t="s">
        <v>89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12"/>
      <c r="B68" s="16" t="s">
        <v>183</v>
      </c>
      <c r="C68" s="46">
        <v>45436.0</v>
      </c>
      <c r="D68" s="17">
        <v>16.94</v>
      </c>
      <c r="E68" s="42" t="s">
        <v>106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12"/>
      <c r="B69" s="16"/>
      <c r="C69" s="46"/>
      <c r="D69" s="17"/>
      <c r="E69" s="4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12"/>
      <c r="B70" s="16"/>
      <c r="C70" s="46"/>
      <c r="D70" s="17"/>
      <c r="E70" s="4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>
      <c r="A71" s="12"/>
      <c r="B71" s="16"/>
      <c r="C71" s="46"/>
      <c r="D71" s="17"/>
      <c r="E71" s="4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>
      <c r="A72" s="12"/>
      <c r="B72" s="16"/>
      <c r="C72" s="46"/>
      <c r="D72" s="17"/>
      <c r="E72" s="4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12"/>
      <c r="B73" s="16"/>
      <c r="C73" s="46"/>
      <c r="D73" s="17"/>
      <c r="E73" s="4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>
      <c r="A74" s="12"/>
      <c r="B74" s="16"/>
      <c r="C74" s="46"/>
      <c r="D74" s="17"/>
      <c r="E74" s="4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>
      <c r="A75" s="11"/>
      <c r="B75" s="16"/>
      <c r="C75" s="46"/>
      <c r="D75" s="17"/>
      <c r="E75" s="4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>
      <c r="A76" s="12"/>
      <c r="B76" s="16"/>
      <c r="C76" s="46"/>
      <c r="D76" s="17"/>
      <c r="E76" s="4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6"/>
      <c r="C77" s="46"/>
      <c r="D77" s="17"/>
      <c r="E77" s="4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6"/>
      <c r="C78" s="46"/>
      <c r="D78" s="17"/>
      <c r="E78" s="4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6"/>
      <c r="C79" s="46"/>
      <c r="D79" s="17"/>
      <c r="E79" s="4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6"/>
      <c r="C80" s="46"/>
      <c r="D80" s="17"/>
      <c r="E80" s="4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6"/>
      <c r="C81" s="46"/>
      <c r="D81" s="17"/>
      <c r="E81" s="4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6"/>
      <c r="C82" s="46"/>
      <c r="D82" s="17"/>
      <c r="E82" s="4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46"/>
      <c r="D83" s="17"/>
      <c r="E83" s="4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46"/>
      <c r="D84" s="17"/>
      <c r="E84" s="4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46"/>
      <c r="D85" s="17"/>
      <c r="E85" s="4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46"/>
      <c r="D86" s="17"/>
      <c r="E86" s="4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46"/>
      <c r="D87" s="17"/>
      <c r="E87" s="4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46"/>
      <c r="D88" s="17"/>
      <c r="E88" s="4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46"/>
      <c r="D89" s="17"/>
      <c r="E89" s="4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46"/>
      <c r="D90" s="17"/>
      <c r="E90" s="4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46"/>
      <c r="D91" s="17"/>
      <c r="E91" s="4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46"/>
      <c r="D92" s="17"/>
      <c r="E92" s="4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46"/>
      <c r="D93" s="17"/>
      <c r="E93" s="4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46"/>
      <c r="D94" s="17"/>
      <c r="E94" s="4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</sheetData>
  <mergeCells count="3">
    <mergeCell ref="A1:B1"/>
    <mergeCell ref="D1:E1"/>
    <mergeCell ref="G1:H1"/>
  </mergeCells>
  <dataValidations>
    <dataValidation type="list" allowBlank="1" sqref="E17 E19:E25">
      <formula1>"OTHER/NONE,PAYMENT,DINE IN,TAKEOUT,DELIVERY,COFFEE,GROCERIES,INTERNET,MOBILE,SUBSCRIPTION SERVICES,BENEFITS,CANNABIS,ALCOHOL,GAS,PARKING,NEWSPAPER,CLOTHES,TECHNOLOGY,FURNITURE,CHARITY,ENTERTAINMENT,CATS,HOTELS,TRANSPORTATION,HOUSEHOLD"</formula1>
    </dataValidation>
    <dataValidation type="list" allowBlank="1" sqref="E7:E16 E18 E26:E94">
      <formula1>"PAYMENT,DINE IN,TAKEOUT,DELIVERY,COFFEE,GROCERIES,INTERNET,MOBILE,PRIME VIDEO,HEALTH,CANNABIS,ALCOHOL,GAS,PARKING,NEWSPAPER,CLOTHES,TECHNOLOGY,FURNITURE,CHARITY,ENTERTAINMENT,PETS,HOTELS,TRANSPORTATION,HOUSEHOLD,GIFTS,FLIGHTS,PARAMOUNT,OTHER/NONE"</formula1>
    </dataValidation>
  </dataValidation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3" t="s">
        <v>108</v>
      </c>
      <c r="B1" s="10" t="s">
        <v>35</v>
      </c>
    </row>
    <row r="2">
      <c r="A2" s="3"/>
      <c r="B2" s="47"/>
      <c r="D2" s="47"/>
    </row>
    <row r="3">
      <c r="A3" s="3" t="s">
        <v>109</v>
      </c>
      <c r="B3" s="47"/>
      <c r="D3" s="47"/>
    </row>
    <row r="4">
      <c r="A4" s="10" t="s">
        <v>110</v>
      </c>
      <c r="B4" s="13">
        <v>0.0</v>
      </c>
      <c r="C4" s="48"/>
    </row>
    <row r="5">
      <c r="A5" s="10" t="s">
        <v>17</v>
      </c>
      <c r="B5" s="28">
        <f>2834.71*2</f>
        <v>5669.42</v>
      </c>
      <c r="C5" s="48">
        <f>B5/B7</f>
        <v>0.6100663717</v>
      </c>
    </row>
    <row r="6">
      <c r="A6" s="10" t="s">
        <v>23</v>
      </c>
      <c r="B6" s="28">
        <f>1811.85*2</f>
        <v>3623.7</v>
      </c>
      <c r="C6" s="48">
        <f>B6/B7</f>
        <v>0.3899336283</v>
      </c>
    </row>
    <row r="7">
      <c r="A7" s="10" t="s">
        <v>111</v>
      </c>
      <c r="B7" s="14">
        <f>SUM(B5:B6)</f>
        <v>9293.12</v>
      </c>
    </row>
    <row r="9">
      <c r="A9" s="3" t="s">
        <v>112</v>
      </c>
      <c r="C9" s="10" t="s">
        <v>17</v>
      </c>
      <c r="D9" s="10" t="s">
        <v>23</v>
      </c>
    </row>
    <row r="10">
      <c r="A10" s="10" t="s">
        <v>113</v>
      </c>
      <c r="B10" s="13">
        <f>2400</f>
        <v>2400</v>
      </c>
      <c r="C10" s="14">
        <f>B10*C5</f>
        <v>1464.159292</v>
      </c>
      <c r="D10" s="14">
        <f>B10*C6</f>
        <v>935.840708</v>
      </c>
      <c r="E10" s="57"/>
    </row>
    <row r="11">
      <c r="A11" s="10" t="s">
        <v>115</v>
      </c>
      <c r="B11" s="13">
        <f>175.43</f>
        <v>175.43</v>
      </c>
      <c r="C11" s="14">
        <f>B11*C5</f>
        <v>107.0239436</v>
      </c>
      <c r="D11" s="14">
        <f>B11*C6</f>
        <v>68.40605642</v>
      </c>
    </row>
    <row r="12">
      <c r="A12" s="10" t="s">
        <v>116</v>
      </c>
      <c r="B12" s="13">
        <f>93.51</f>
        <v>93.51</v>
      </c>
      <c r="C12" s="14">
        <f>B12*C5</f>
        <v>57.04730642</v>
      </c>
      <c r="D12" s="14">
        <f>B12*C6</f>
        <v>36.46269358</v>
      </c>
      <c r="E12" s="47"/>
    </row>
    <row r="13">
      <c r="A13" s="10" t="s">
        <v>117</v>
      </c>
      <c r="B13" s="13">
        <v>81.46</v>
      </c>
      <c r="C13" s="14">
        <f>B13*C5</f>
        <v>49.69600664</v>
      </c>
      <c r="D13" s="14">
        <f>B13*C6</f>
        <v>31.76399336</v>
      </c>
      <c r="E13" s="47"/>
    </row>
    <row r="14">
      <c r="A14" s="10" t="s">
        <v>118</v>
      </c>
      <c r="B14" s="13">
        <v>134.48</v>
      </c>
      <c r="C14" s="14">
        <f>B14*C5</f>
        <v>82.04172566</v>
      </c>
      <c r="D14" s="14">
        <f>B14*C6</f>
        <v>52.43827434</v>
      </c>
      <c r="E14" s="57"/>
    </row>
    <row r="15">
      <c r="A15" s="10" t="s">
        <v>119</v>
      </c>
      <c r="B15" s="58">
        <v>44.03</v>
      </c>
      <c r="C15" s="14">
        <f>B15*C5</f>
        <v>26.86122235</v>
      </c>
      <c r="D15" s="14">
        <f>B15*C6</f>
        <v>17.16877765</v>
      </c>
      <c r="E15" s="57"/>
    </row>
    <row r="16">
      <c r="A16" s="10" t="s">
        <v>120</v>
      </c>
      <c r="B16" s="14">
        <v>161.42</v>
      </c>
      <c r="C16" s="14">
        <f>B16*C5</f>
        <v>98.47691372</v>
      </c>
      <c r="D16" s="14">
        <f>B16*C6</f>
        <v>62.94308628</v>
      </c>
      <c r="E16" s="57"/>
    </row>
    <row r="17">
      <c r="B17" s="14"/>
      <c r="C17" s="14"/>
      <c r="D17" s="14"/>
    </row>
    <row r="18">
      <c r="A18" s="10" t="s">
        <v>121</v>
      </c>
      <c r="B18" s="14">
        <f t="shared" ref="B18:D18" si="1">Sum(B10:B16)</f>
        <v>3090.33</v>
      </c>
      <c r="C18" s="14">
        <f t="shared" si="1"/>
        <v>1885.30641</v>
      </c>
      <c r="D18" s="14">
        <f t="shared" si="1"/>
        <v>1205.02359</v>
      </c>
    </row>
    <row r="19">
      <c r="B19" s="14"/>
      <c r="C19" s="14"/>
      <c r="D19" s="14"/>
    </row>
    <row r="20">
      <c r="A20" s="3" t="s">
        <v>122</v>
      </c>
      <c r="B20" s="13"/>
      <c r="C20" s="13"/>
      <c r="D20" s="14"/>
    </row>
    <row r="21">
      <c r="A21" s="10" t="s">
        <v>123</v>
      </c>
      <c r="B21" s="14">
        <f>B7*0.25</f>
        <v>2323.28</v>
      </c>
      <c r="C21" s="14">
        <f>B21*C5</f>
        <v>1417.355</v>
      </c>
      <c r="D21" s="14">
        <f>B21*C6</f>
        <v>905.925</v>
      </c>
    </row>
    <row r="23">
      <c r="A23" s="10" t="s">
        <v>124</v>
      </c>
      <c r="B23" s="14">
        <f t="shared" ref="B23:D23" si="2">B18+B21</f>
        <v>5413.61</v>
      </c>
      <c r="C23" s="14">
        <f t="shared" si="2"/>
        <v>3302.66141</v>
      </c>
      <c r="D23" s="14">
        <f t="shared" si="2"/>
        <v>2110.94859</v>
      </c>
    </row>
    <row r="25">
      <c r="A25" s="10" t="s">
        <v>125</v>
      </c>
      <c r="C25" s="14">
        <f>B5-C23</f>
        <v>2366.75859</v>
      </c>
      <c r="D25" s="14">
        <f>B6-D23</f>
        <v>1512.75141</v>
      </c>
    </row>
    <row r="26">
      <c r="A26" s="47">
        <v>45458.0</v>
      </c>
      <c r="C26" s="14">
        <f t="shared" ref="C26:D26" si="3">C25/2</f>
        <v>1183.379295</v>
      </c>
      <c r="D26" s="14">
        <f t="shared" si="3"/>
        <v>756.3757052</v>
      </c>
    </row>
    <row r="27">
      <c r="A27" s="47">
        <v>45473.0</v>
      </c>
      <c r="C27" s="14">
        <f t="shared" ref="C27:D27" si="4">C25/2</f>
        <v>1183.379295</v>
      </c>
      <c r="D27" s="13">
        <f t="shared" si="4"/>
        <v>756.3757052</v>
      </c>
    </row>
    <row r="29">
      <c r="A29" s="49"/>
      <c r="B29" s="49"/>
      <c r="C29" s="49"/>
      <c r="D29" s="49"/>
    </row>
    <row r="30">
      <c r="A30" s="3" t="s">
        <v>126</v>
      </c>
      <c r="C30" s="10" t="s">
        <v>128</v>
      </c>
    </row>
    <row r="31">
      <c r="A31" s="10" t="s">
        <v>130</v>
      </c>
      <c r="B31" s="13" t="str">
        <f>'CC - May 24'!I3</f>
        <v/>
      </c>
      <c r="C31" s="47">
        <v>45092.0</v>
      </c>
    </row>
    <row r="32">
      <c r="A32" s="10" t="s">
        <v>131</v>
      </c>
      <c r="B32" s="13" t="str">
        <f>'CC - May 24'!B3</f>
        <v/>
      </c>
      <c r="C32" s="47">
        <v>45089.0</v>
      </c>
    </row>
    <row r="33">
      <c r="A33" s="10" t="s">
        <v>133</v>
      </c>
      <c r="B33" s="60"/>
      <c r="C33" s="61"/>
    </row>
    <row r="40">
      <c r="A40" s="14"/>
      <c r="B40" s="1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5" max="5" width="18.63"/>
    <col customWidth="1" min="9" max="9" width="11.25"/>
    <col customWidth="1" min="10" max="10" width="18.63"/>
  </cols>
  <sheetData>
    <row r="1">
      <c r="A1" s="35" t="s">
        <v>134</v>
      </c>
      <c r="D1" s="35" t="s">
        <v>135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36" t="s">
        <v>136</v>
      </c>
      <c r="B2" s="37">
        <v>45099.0</v>
      </c>
      <c r="C2" s="36"/>
      <c r="D2" s="36" t="s">
        <v>136</v>
      </c>
      <c r="E2" s="18"/>
      <c r="F2" s="37">
        <v>45101.0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36" t="s">
        <v>137</v>
      </c>
      <c r="B3" s="26"/>
      <c r="C3" s="36"/>
      <c r="D3" s="36" t="s">
        <v>137</v>
      </c>
      <c r="E3" s="18"/>
      <c r="F3" s="26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36" t="s">
        <v>138</v>
      </c>
      <c r="B4" s="39">
        <v>45120.0</v>
      </c>
      <c r="C4" s="36"/>
      <c r="D4" s="36" t="s">
        <v>138</v>
      </c>
      <c r="E4" s="18"/>
      <c r="F4" s="39">
        <v>45124.0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2"/>
      <c r="B5" s="12"/>
      <c r="C5" s="18"/>
      <c r="D5" s="1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2" t="s">
        <v>139</v>
      </c>
      <c r="C6" s="19" t="s">
        <v>140</v>
      </c>
      <c r="D6" s="18" t="s">
        <v>141</v>
      </c>
      <c r="E6" s="12" t="s">
        <v>67</v>
      </c>
      <c r="F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2"/>
      <c r="B7" s="16" t="s">
        <v>291</v>
      </c>
      <c r="C7" s="62">
        <v>45467.0</v>
      </c>
      <c r="D7" s="28">
        <v>-60.0</v>
      </c>
      <c r="E7" s="42" t="s">
        <v>153</v>
      </c>
      <c r="F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2"/>
      <c r="B8" s="16" t="s">
        <v>292</v>
      </c>
      <c r="C8" s="62">
        <v>45467.0</v>
      </c>
      <c r="D8" s="28">
        <v>16.94</v>
      </c>
      <c r="E8" s="42" t="s">
        <v>106</v>
      </c>
      <c r="F8" s="4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2"/>
      <c r="B9" s="16" t="s">
        <v>293</v>
      </c>
      <c r="C9" s="62">
        <v>45466.0</v>
      </c>
      <c r="D9" s="28">
        <v>17.46</v>
      </c>
      <c r="E9" s="42" t="s">
        <v>98</v>
      </c>
      <c r="F9" s="43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2"/>
      <c r="B10" s="16" t="s">
        <v>294</v>
      </c>
      <c r="C10" s="62">
        <v>45465.0</v>
      </c>
      <c r="D10" s="28">
        <v>14.68</v>
      </c>
      <c r="E10" s="42" t="s">
        <v>106</v>
      </c>
      <c r="F10" s="4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2"/>
      <c r="B11" s="16" t="s">
        <v>295</v>
      </c>
      <c r="C11" s="62">
        <v>45465.0</v>
      </c>
      <c r="D11" s="28">
        <v>151.28</v>
      </c>
      <c r="E11" s="42" t="s">
        <v>103</v>
      </c>
      <c r="F11" s="4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2"/>
      <c r="B12" s="16" t="s">
        <v>296</v>
      </c>
      <c r="C12" s="62">
        <v>45464.0</v>
      </c>
      <c r="D12" s="28">
        <v>169.48</v>
      </c>
      <c r="E12" s="42" t="s">
        <v>297</v>
      </c>
      <c r="F12" s="4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2"/>
      <c r="B13" s="16" t="s">
        <v>298</v>
      </c>
      <c r="C13" s="62">
        <v>45463.0</v>
      </c>
      <c r="D13" s="28">
        <v>16.49</v>
      </c>
      <c r="E13" s="42" t="s">
        <v>96</v>
      </c>
      <c r="F13" s="43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2"/>
      <c r="B14" s="16" t="s">
        <v>299</v>
      </c>
      <c r="C14" s="62">
        <v>45463.0</v>
      </c>
      <c r="D14" s="28">
        <v>27.5</v>
      </c>
      <c r="E14" s="42" t="s">
        <v>107</v>
      </c>
      <c r="F14" s="4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2"/>
      <c r="B15" s="16" t="s">
        <v>300</v>
      </c>
      <c r="C15" s="62">
        <v>45462.0</v>
      </c>
      <c r="D15" s="28">
        <v>132.91</v>
      </c>
      <c r="E15" s="42" t="s">
        <v>89</v>
      </c>
      <c r="F15" s="4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2"/>
      <c r="B16" s="16" t="s">
        <v>301</v>
      </c>
      <c r="C16" s="62">
        <v>45462.0</v>
      </c>
      <c r="D16" s="28">
        <v>25.18</v>
      </c>
      <c r="E16" s="42" t="s">
        <v>90</v>
      </c>
      <c r="F16" s="4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2"/>
      <c r="B17" s="16" t="s">
        <v>302</v>
      </c>
      <c r="C17" s="62">
        <v>45462.0</v>
      </c>
      <c r="D17" s="28">
        <v>913.04</v>
      </c>
      <c r="E17" s="42" t="s">
        <v>106</v>
      </c>
      <c r="F17" s="4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2"/>
      <c r="B18" s="12" t="s">
        <v>303</v>
      </c>
      <c r="C18" s="62">
        <v>45461.0</v>
      </c>
      <c r="D18" s="28">
        <v>8.99</v>
      </c>
      <c r="E18" s="42" t="s">
        <v>101</v>
      </c>
      <c r="F18" s="4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2"/>
      <c r="B19" s="16" t="s">
        <v>304</v>
      </c>
      <c r="C19" s="62">
        <v>45461.0</v>
      </c>
      <c r="D19" s="28">
        <v>124.0</v>
      </c>
      <c r="E19" s="42" t="s">
        <v>270</v>
      </c>
      <c r="F19" s="4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2"/>
      <c r="B20" s="16" t="s">
        <v>256</v>
      </c>
      <c r="C20" s="62">
        <v>45460.0</v>
      </c>
      <c r="D20" s="28">
        <v>145.77</v>
      </c>
      <c r="E20" s="42" t="s">
        <v>103</v>
      </c>
      <c r="F20" s="4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2"/>
      <c r="B21" s="16" t="s">
        <v>305</v>
      </c>
      <c r="C21" s="62">
        <v>45459.0</v>
      </c>
      <c r="D21" s="28">
        <v>12.42</v>
      </c>
      <c r="E21" s="42" t="s">
        <v>268</v>
      </c>
      <c r="F21" s="4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2"/>
      <c r="B22" s="16" t="s">
        <v>306</v>
      </c>
      <c r="C22" s="62">
        <v>45459.0</v>
      </c>
      <c r="D22" s="28">
        <v>203.39</v>
      </c>
      <c r="E22" s="42" t="s">
        <v>86</v>
      </c>
      <c r="F22" s="4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2"/>
      <c r="B23" s="16" t="s">
        <v>307</v>
      </c>
      <c r="C23" s="62">
        <v>45459.0</v>
      </c>
      <c r="D23" s="28">
        <v>64.12</v>
      </c>
      <c r="E23" s="42" t="s">
        <v>93</v>
      </c>
      <c r="F23" s="4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2"/>
      <c r="B24" s="16" t="s">
        <v>308</v>
      </c>
      <c r="C24" s="62">
        <v>45459.0</v>
      </c>
      <c r="D24" s="28">
        <v>141.36</v>
      </c>
      <c r="E24" s="42" t="s">
        <v>89</v>
      </c>
      <c r="F24" s="4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2"/>
      <c r="B25" s="16" t="s">
        <v>305</v>
      </c>
      <c r="C25" s="62">
        <v>45458.0</v>
      </c>
      <c r="D25" s="28">
        <v>4.51</v>
      </c>
      <c r="E25" s="42" t="s">
        <v>268</v>
      </c>
      <c r="F25" s="4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2"/>
      <c r="B26" s="16" t="s">
        <v>309</v>
      </c>
      <c r="C26" s="62">
        <v>45458.0</v>
      </c>
      <c r="D26" s="28">
        <v>200.0</v>
      </c>
      <c r="E26" s="42" t="s">
        <v>85</v>
      </c>
      <c r="F26" s="4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2"/>
      <c r="B27" s="16" t="s">
        <v>310</v>
      </c>
      <c r="C27" s="62">
        <v>45458.0</v>
      </c>
      <c r="D27" s="28">
        <v>14.6</v>
      </c>
      <c r="E27" s="42" t="s">
        <v>82</v>
      </c>
      <c r="F27" s="4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2"/>
      <c r="B28" s="16" t="s">
        <v>311</v>
      </c>
      <c r="C28" s="62">
        <v>45457.0</v>
      </c>
      <c r="D28" s="28">
        <v>83.0</v>
      </c>
      <c r="E28" s="42" t="s">
        <v>82</v>
      </c>
      <c r="F28" s="4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2"/>
      <c r="B29" s="16" t="s">
        <v>312</v>
      </c>
      <c r="C29" s="62">
        <v>45456.0</v>
      </c>
      <c r="D29" s="28">
        <v>11.29</v>
      </c>
      <c r="E29" s="42" t="s">
        <v>268</v>
      </c>
      <c r="F29" s="4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2"/>
      <c r="B30" s="16" t="s">
        <v>313</v>
      </c>
      <c r="C30" s="62">
        <v>45456.0</v>
      </c>
      <c r="D30" s="28">
        <v>4080.97</v>
      </c>
      <c r="E30" s="42" t="s">
        <v>107</v>
      </c>
      <c r="F30" s="4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2"/>
      <c r="B31" s="16" t="s">
        <v>313</v>
      </c>
      <c r="C31" s="62">
        <v>45456.0</v>
      </c>
      <c r="D31" s="28">
        <v>4080.97</v>
      </c>
      <c r="E31" s="42" t="s">
        <v>107</v>
      </c>
      <c r="F31" s="4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2"/>
      <c r="B32" s="16" t="s">
        <v>314</v>
      </c>
      <c r="C32" s="62">
        <v>45455.0</v>
      </c>
      <c r="D32" s="28">
        <v>46.09</v>
      </c>
      <c r="E32" s="42" t="s">
        <v>105</v>
      </c>
      <c r="F32" s="4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2"/>
      <c r="B33" s="16" t="s">
        <v>315</v>
      </c>
      <c r="C33" s="62">
        <v>45455.0</v>
      </c>
      <c r="D33" s="28">
        <v>29.26</v>
      </c>
      <c r="E33" s="42" t="s">
        <v>105</v>
      </c>
      <c r="F33" s="4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2"/>
      <c r="B34" s="16" t="s">
        <v>294</v>
      </c>
      <c r="C34" s="62">
        <v>45453.0</v>
      </c>
      <c r="D34" s="28">
        <v>4.51</v>
      </c>
      <c r="E34" s="42" t="s">
        <v>106</v>
      </c>
      <c r="F34" s="4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2"/>
      <c r="B35" s="16" t="s">
        <v>294</v>
      </c>
      <c r="C35" s="62">
        <v>45453.0</v>
      </c>
      <c r="D35" s="28">
        <v>4.51</v>
      </c>
      <c r="E35" s="42" t="s">
        <v>106</v>
      </c>
      <c r="F35" s="4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2"/>
      <c r="B36" s="16" t="s">
        <v>316</v>
      </c>
      <c r="C36" s="63">
        <v>45452.0</v>
      </c>
      <c r="D36" s="28">
        <v>134.24</v>
      </c>
      <c r="E36" s="42" t="s">
        <v>89</v>
      </c>
      <c r="F36" s="4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2"/>
      <c r="B37" s="16" t="s">
        <v>168</v>
      </c>
      <c r="C37" s="63">
        <v>45451.0</v>
      </c>
      <c r="D37" s="28">
        <v>50.0</v>
      </c>
      <c r="E37" s="42" t="s">
        <v>85</v>
      </c>
      <c r="F37" s="4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2"/>
      <c r="B38" s="16" t="s">
        <v>233</v>
      </c>
      <c r="C38" s="63">
        <v>45451.0</v>
      </c>
      <c r="D38" s="28">
        <v>93.79</v>
      </c>
      <c r="E38" s="42" t="s">
        <v>101</v>
      </c>
      <c r="F38" s="4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2"/>
      <c r="B39" s="16" t="s">
        <v>305</v>
      </c>
      <c r="C39" s="63">
        <v>45450.0</v>
      </c>
      <c r="D39" s="28">
        <v>10.16</v>
      </c>
      <c r="E39" s="42" t="s">
        <v>268</v>
      </c>
      <c r="F39" s="4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2"/>
      <c r="B40" s="16" t="s">
        <v>317</v>
      </c>
      <c r="C40" s="63">
        <v>45450.0</v>
      </c>
      <c r="D40" s="28">
        <v>29.0</v>
      </c>
      <c r="E40" s="42" t="s">
        <v>86</v>
      </c>
      <c r="F40" s="4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2"/>
      <c r="B41" s="16" t="s">
        <v>318</v>
      </c>
      <c r="C41" s="63">
        <v>45450.0</v>
      </c>
      <c r="D41" s="28">
        <v>130.0</v>
      </c>
      <c r="E41" s="42" t="s">
        <v>87</v>
      </c>
      <c r="F41" s="4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2"/>
      <c r="B42" s="16" t="s">
        <v>319</v>
      </c>
      <c r="C42" s="63">
        <v>45450.0</v>
      </c>
      <c r="D42" s="28">
        <v>37.13</v>
      </c>
      <c r="E42" s="42" t="s">
        <v>103</v>
      </c>
      <c r="F42" s="4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2"/>
      <c r="B43" s="16" t="s">
        <v>320</v>
      </c>
      <c r="C43" s="63">
        <v>45450.0</v>
      </c>
      <c r="D43" s="28">
        <v>53.63</v>
      </c>
      <c r="E43" s="42" t="s">
        <v>96</v>
      </c>
      <c r="F43" s="4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2"/>
      <c r="B44" s="16" t="s">
        <v>321</v>
      </c>
      <c r="C44" s="63">
        <v>45450.0</v>
      </c>
      <c r="D44" s="28">
        <v>187.58</v>
      </c>
      <c r="E44" s="42" t="s">
        <v>107</v>
      </c>
      <c r="F44" s="4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2"/>
      <c r="B45" s="16" t="s">
        <v>322</v>
      </c>
      <c r="C45" s="63">
        <v>45450.0</v>
      </c>
      <c r="D45" s="28">
        <v>79.1</v>
      </c>
      <c r="E45" s="42" t="s">
        <v>89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2"/>
      <c r="B46" s="16" t="s">
        <v>295</v>
      </c>
      <c r="C46" s="63">
        <v>45448.0</v>
      </c>
      <c r="D46" s="28">
        <v>101.69</v>
      </c>
      <c r="E46" s="42" t="s">
        <v>103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2"/>
      <c r="B47" s="16" t="s">
        <v>266</v>
      </c>
      <c r="C47" s="63">
        <v>45448.0</v>
      </c>
      <c r="D47" s="28">
        <v>59.78</v>
      </c>
      <c r="E47" s="42" t="s">
        <v>105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2"/>
      <c r="B48" s="16" t="s">
        <v>323</v>
      </c>
      <c r="C48" s="63">
        <v>45447.0</v>
      </c>
      <c r="D48" s="28">
        <v>45.94</v>
      </c>
      <c r="E48" s="42" t="s">
        <v>96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2"/>
      <c r="B49" s="16" t="s">
        <v>324</v>
      </c>
      <c r="C49" s="63">
        <v>45447.0</v>
      </c>
      <c r="D49" s="28">
        <v>62.69</v>
      </c>
      <c r="E49" s="42" t="s">
        <v>95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2"/>
      <c r="B50" s="16" t="s">
        <v>325</v>
      </c>
      <c r="C50" s="63">
        <v>45447.0</v>
      </c>
      <c r="D50" s="28">
        <v>110.74</v>
      </c>
      <c r="E50" s="42" t="s">
        <v>107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2"/>
      <c r="B51" s="16" t="s">
        <v>326</v>
      </c>
      <c r="C51" s="63">
        <v>45446.0</v>
      </c>
      <c r="D51" s="28">
        <v>370.64</v>
      </c>
      <c r="E51" s="42" t="s">
        <v>94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2"/>
      <c r="B52" s="16" t="s">
        <v>327</v>
      </c>
      <c r="C52" s="63">
        <v>45444.0</v>
      </c>
      <c r="D52" s="28">
        <v>12.15</v>
      </c>
      <c r="E52" s="42" t="s">
        <v>98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2"/>
      <c r="B53" s="16" t="s">
        <v>328</v>
      </c>
      <c r="C53" s="63">
        <v>45444.0</v>
      </c>
      <c r="D53" s="28">
        <v>90.39</v>
      </c>
      <c r="E53" s="42" t="s">
        <v>99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2"/>
      <c r="B54" s="16" t="s">
        <v>305</v>
      </c>
      <c r="C54" s="64">
        <v>45443.0</v>
      </c>
      <c r="D54" s="28">
        <v>5.64</v>
      </c>
      <c r="E54" s="42" t="s">
        <v>268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2"/>
      <c r="B55" s="16" t="s">
        <v>310</v>
      </c>
      <c r="C55" s="64">
        <v>45443.0</v>
      </c>
      <c r="D55" s="28">
        <v>27.9</v>
      </c>
      <c r="E55" s="42" t="s">
        <v>82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2"/>
      <c r="B56" s="16" t="s">
        <v>152</v>
      </c>
      <c r="C56" s="64">
        <v>45443.0</v>
      </c>
      <c r="D56" s="28">
        <v>-7685.02</v>
      </c>
      <c r="E56" s="42" t="s">
        <v>153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2"/>
      <c r="B57" s="16" t="s">
        <v>305</v>
      </c>
      <c r="C57" s="64">
        <v>45442.0</v>
      </c>
      <c r="D57" s="28">
        <v>24.85</v>
      </c>
      <c r="E57" s="42" t="s">
        <v>268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2"/>
      <c r="B58" s="16" t="s">
        <v>329</v>
      </c>
      <c r="C58" s="64">
        <v>45442.0</v>
      </c>
      <c r="D58" s="28">
        <v>31.94</v>
      </c>
      <c r="E58" s="42" t="s">
        <v>105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2"/>
      <c r="B59" s="16" t="s">
        <v>330</v>
      </c>
      <c r="C59" s="64">
        <v>45440.0</v>
      </c>
      <c r="D59" s="28">
        <v>38.41</v>
      </c>
      <c r="E59" s="42" t="s">
        <v>98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2"/>
      <c r="B60" s="16" t="s">
        <v>331</v>
      </c>
      <c r="C60" s="64">
        <v>45440.0</v>
      </c>
      <c r="D60" s="28">
        <v>93.47</v>
      </c>
      <c r="E60" s="42" t="s">
        <v>95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2"/>
      <c r="B61" s="16" t="s">
        <v>310</v>
      </c>
      <c r="C61" s="64">
        <v>45440.0</v>
      </c>
      <c r="D61" s="28">
        <v>7.85</v>
      </c>
      <c r="E61" s="42" t="s">
        <v>82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1"/>
      <c r="B62" s="16" t="s">
        <v>332</v>
      </c>
      <c r="C62" s="64">
        <v>45440.0</v>
      </c>
      <c r="D62" s="28">
        <v>89.58</v>
      </c>
      <c r="E62" s="42" t="s">
        <v>89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2"/>
      <c r="B63" s="16" t="s">
        <v>305</v>
      </c>
      <c r="C63" s="64">
        <v>45439.0</v>
      </c>
      <c r="D63" s="28">
        <v>7.9</v>
      </c>
      <c r="E63" s="42" t="s">
        <v>268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2"/>
      <c r="B64" s="16" t="s">
        <v>324</v>
      </c>
      <c r="C64" s="64">
        <v>45439.0</v>
      </c>
      <c r="D64" s="28">
        <v>60.71</v>
      </c>
      <c r="E64" s="42" t="s">
        <v>95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2"/>
      <c r="B65" s="16" t="s">
        <v>333</v>
      </c>
      <c r="C65" s="64">
        <v>45439.0</v>
      </c>
      <c r="D65" s="28">
        <v>192.05</v>
      </c>
      <c r="E65" s="42" t="s">
        <v>107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2"/>
      <c r="B66" s="16" t="s">
        <v>334</v>
      </c>
      <c r="C66" s="64">
        <v>45438.0</v>
      </c>
      <c r="D66" s="28">
        <v>13.56</v>
      </c>
      <c r="E66" s="42" t="s">
        <v>106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2"/>
      <c r="B67" s="16" t="s">
        <v>335</v>
      </c>
      <c r="C67" s="64">
        <v>45437.0</v>
      </c>
      <c r="D67" s="28">
        <v>229.4</v>
      </c>
      <c r="E67" s="42" t="s">
        <v>100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12"/>
      <c r="B68" s="16" t="s">
        <v>324</v>
      </c>
      <c r="C68" s="64">
        <v>45437.0</v>
      </c>
      <c r="D68" s="28">
        <v>45.75</v>
      </c>
      <c r="E68" s="42" t="s">
        <v>95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12"/>
      <c r="B69" s="16" t="s">
        <v>256</v>
      </c>
      <c r="C69" s="64">
        <v>45435.0</v>
      </c>
      <c r="D69" s="28">
        <v>-145.77</v>
      </c>
      <c r="E69" s="42" t="s">
        <v>153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12"/>
      <c r="B70" s="11" t="s">
        <v>152</v>
      </c>
      <c r="C70" s="64">
        <v>45435.0</v>
      </c>
      <c r="D70" s="26">
        <v>-1709.42</v>
      </c>
      <c r="E70" s="42" t="s">
        <v>153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>
      <c r="A71" s="12"/>
      <c r="B71" s="11" t="s">
        <v>336</v>
      </c>
      <c r="C71" s="64">
        <v>45435.0</v>
      </c>
      <c r="D71" s="26">
        <v>11.28</v>
      </c>
      <c r="E71" s="42" t="s">
        <v>105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>
      <c r="A72" s="12"/>
      <c r="B72" s="11" t="s">
        <v>337</v>
      </c>
      <c r="C72" s="65">
        <v>45437.0</v>
      </c>
      <c r="D72" s="26">
        <v>9.04</v>
      </c>
      <c r="E72" s="42" t="s">
        <v>105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12"/>
      <c r="B73" s="11" t="s">
        <v>338</v>
      </c>
      <c r="C73" s="65">
        <v>45438.0</v>
      </c>
      <c r="D73" s="26">
        <v>27.0</v>
      </c>
      <c r="E73" s="42" t="s">
        <v>82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>
      <c r="A74" s="12"/>
      <c r="B74" s="11" t="s">
        <v>236</v>
      </c>
      <c r="C74" s="65">
        <v>45439.0</v>
      </c>
      <c r="D74" s="26">
        <v>1091.39</v>
      </c>
      <c r="E74" s="42" t="s">
        <v>103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>
      <c r="A75" s="12"/>
      <c r="B75" s="11" t="s">
        <v>236</v>
      </c>
      <c r="C75" s="65">
        <v>45442.0</v>
      </c>
      <c r="D75" s="26">
        <v>2301.44</v>
      </c>
      <c r="E75" s="42" t="s">
        <v>103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>
      <c r="A76" s="12"/>
      <c r="B76" s="11" t="s">
        <v>339</v>
      </c>
      <c r="C76" s="65">
        <v>45444.0</v>
      </c>
      <c r="D76" s="26">
        <v>22.37</v>
      </c>
      <c r="E76" s="42" t="s">
        <v>95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>
      <c r="A77" s="12"/>
      <c r="B77" s="11" t="s">
        <v>340</v>
      </c>
      <c r="C77" s="65">
        <v>45444.0</v>
      </c>
      <c r="D77" s="26">
        <v>7.9</v>
      </c>
      <c r="E77" s="42" t="s">
        <v>90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>
      <c r="A78" s="12"/>
      <c r="B78" s="11" t="s">
        <v>194</v>
      </c>
      <c r="C78" s="65">
        <v>45447.0</v>
      </c>
      <c r="D78" s="26">
        <v>-5.86</v>
      </c>
      <c r="E78" s="42" t="s">
        <v>153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>
      <c r="A79" s="12"/>
      <c r="B79" s="11" t="s">
        <v>341</v>
      </c>
      <c r="C79" s="65">
        <v>45450.0</v>
      </c>
      <c r="D79" s="26">
        <v>50.25</v>
      </c>
      <c r="E79" s="42" t="s">
        <v>95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>
      <c r="A80" s="12"/>
      <c r="B80" s="11" t="s">
        <v>342</v>
      </c>
      <c r="C80" s="65">
        <v>45452.0</v>
      </c>
      <c r="D80" s="26">
        <v>25.42</v>
      </c>
      <c r="E80" s="42" t="s">
        <v>105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>
      <c r="A81" s="12"/>
      <c r="B81" s="11" t="s">
        <v>343</v>
      </c>
      <c r="C81" s="65">
        <v>45457.0</v>
      </c>
      <c r="D81" s="26">
        <v>36.25</v>
      </c>
      <c r="E81" s="42" t="s">
        <v>105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1" t="s">
        <v>344</v>
      </c>
      <c r="C82" s="65">
        <v>45460.0</v>
      </c>
      <c r="D82" s="26">
        <v>27.0</v>
      </c>
      <c r="E82" s="42" t="s">
        <v>105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46"/>
      <c r="D83" s="28"/>
      <c r="E83" s="42" t="s">
        <v>106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46"/>
      <c r="D84" s="28"/>
      <c r="E84" s="42" t="s">
        <v>105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46"/>
      <c r="D85" s="28"/>
      <c r="E85" s="42" t="s">
        <v>105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46"/>
      <c r="D86" s="28"/>
      <c r="E86" s="42" t="s">
        <v>105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46"/>
      <c r="D87" s="28"/>
      <c r="E87" s="42" t="s">
        <v>94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46"/>
      <c r="D88" s="28"/>
      <c r="E88" s="42" t="s">
        <v>94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46"/>
      <c r="D89" s="28"/>
      <c r="E89" s="42" t="s">
        <v>94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46"/>
      <c r="D90" s="28"/>
      <c r="E90" s="42" t="s">
        <v>90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46"/>
      <c r="D91" s="28"/>
      <c r="E91" s="42" t="s">
        <v>90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46"/>
      <c r="D92" s="28"/>
      <c r="E92" s="42" t="s">
        <v>106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</sheetData>
  <mergeCells count="2">
    <mergeCell ref="A1:B1"/>
    <mergeCell ref="D1:E1"/>
  </mergeCells>
  <dataValidations>
    <dataValidation type="list" allowBlank="1" sqref="E11:E78">
      <formula1>"PAYMENT,DINE IN,TAKEOUT,DELIVERY,COFFEE,GROCERIES,INTERNET,MOBILE,PRIME VIDEO,HEALTH,CANNABIS,ALCOHOL,GAS,PARKING,NEWSPAPER,CLOTHES,TECHNOLOGY,FURNITURE,CHARITY,ENTERTAINMENT,PETS,HOTELS,TRANSPORTATION,HOUSEHOLD,GIFTS,FLIGHTS,PARAMOUNT,OTHER/NONE,Disney+"</formula1>
    </dataValidation>
    <dataValidation type="list" allowBlank="1" sqref="E7:E10 E79:E92">
      <formula1>"PAYMENT,DINE IN,TAKEOUT,DELIVERY,COFFEE,GROCERIES,INTERNET,MOBILE,PRIME VIDEO,HEALTH,CANNABIS,ALCOHOL,GAS,PARKING,NEWSPAPER,CLOTHES,TECHNOLOGY,FURNITURE,CHARITY,ENTERTAINMENT,CATS,HOTELS,TRANSPORTATION,HOUSEHOLD,GIFTS,FLIGHTS,PARAMOUNT"</formula1>
    </dataValidation>
  </dataValidation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3" t="s">
        <v>108</v>
      </c>
      <c r="B1" s="10" t="s">
        <v>36</v>
      </c>
    </row>
    <row r="2">
      <c r="A2" s="3"/>
      <c r="B2" s="47"/>
      <c r="D2" s="47"/>
    </row>
    <row r="3">
      <c r="A3" s="3" t="s">
        <v>109</v>
      </c>
      <c r="B3" s="47"/>
      <c r="D3" s="47"/>
    </row>
    <row r="4">
      <c r="A4" s="10" t="s">
        <v>110</v>
      </c>
      <c r="B4" s="13">
        <v>0.0</v>
      </c>
      <c r="C4" s="48"/>
    </row>
    <row r="5">
      <c r="A5" s="10" t="s">
        <v>17</v>
      </c>
      <c r="B5" s="28">
        <f>2834.71*2</f>
        <v>5669.42</v>
      </c>
      <c r="C5" s="48">
        <f>B5/B7</f>
        <v>0.6100663717</v>
      </c>
    </row>
    <row r="6">
      <c r="A6" s="10" t="s">
        <v>23</v>
      </c>
      <c r="B6" s="28">
        <f>1811.85*2</f>
        <v>3623.7</v>
      </c>
      <c r="C6" s="48">
        <f>B6/B7</f>
        <v>0.3899336283</v>
      </c>
    </row>
    <row r="7">
      <c r="A7" s="10" t="s">
        <v>111</v>
      </c>
      <c r="B7" s="14">
        <f>SUM(B5:B6)</f>
        <v>9293.12</v>
      </c>
    </row>
    <row r="9">
      <c r="A9" s="3" t="s">
        <v>112</v>
      </c>
      <c r="C9" s="10" t="s">
        <v>17</v>
      </c>
      <c r="D9" s="10" t="s">
        <v>23</v>
      </c>
    </row>
    <row r="10">
      <c r="A10" s="10" t="s">
        <v>113</v>
      </c>
      <c r="B10" s="13">
        <f>2400</f>
        <v>2400</v>
      </c>
      <c r="C10" s="14">
        <f>B10*C5</f>
        <v>1464.159292</v>
      </c>
      <c r="D10" s="14">
        <f>B10*C6</f>
        <v>935.840708</v>
      </c>
      <c r="E10" s="10" t="s">
        <v>114</v>
      </c>
    </row>
    <row r="11">
      <c r="A11" s="10" t="s">
        <v>345</v>
      </c>
      <c r="B11" s="13">
        <f>175.43</f>
        <v>175.43</v>
      </c>
      <c r="C11" s="14">
        <f>B11*C5</f>
        <v>107.0239436</v>
      </c>
      <c r="D11" s="14">
        <f>B11*C6</f>
        <v>68.40605642</v>
      </c>
      <c r="E11" s="10" t="s">
        <v>114</v>
      </c>
    </row>
    <row r="12">
      <c r="A12" s="10" t="s">
        <v>116</v>
      </c>
      <c r="B12" s="13">
        <f>93.51</f>
        <v>93.51</v>
      </c>
      <c r="C12" s="14">
        <f>B12*C5</f>
        <v>57.04730642</v>
      </c>
      <c r="D12" s="14">
        <f>B12*C6</f>
        <v>36.46269358</v>
      </c>
    </row>
    <row r="13">
      <c r="A13" s="10" t="s">
        <v>117</v>
      </c>
      <c r="B13" s="13">
        <f>138</f>
        <v>138</v>
      </c>
      <c r="C13" s="14">
        <f>B13*C5</f>
        <v>84.18915929</v>
      </c>
      <c r="D13" s="14">
        <f>B13*C6</f>
        <v>53.81084071</v>
      </c>
    </row>
    <row r="14">
      <c r="A14" s="10" t="s">
        <v>118</v>
      </c>
      <c r="B14" s="13">
        <v>134.48</v>
      </c>
      <c r="C14" s="14">
        <f>B14*C5</f>
        <v>82.04172566</v>
      </c>
      <c r="D14" s="14">
        <f>B14*C6</f>
        <v>52.43827434</v>
      </c>
    </row>
    <row r="15">
      <c r="A15" s="10" t="s">
        <v>119</v>
      </c>
      <c r="B15" s="58">
        <f>39.11</f>
        <v>39.11</v>
      </c>
      <c r="C15" s="14">
        <f>B15*C5</f>
        <v>23.8596958</v>
      </c>
      <c r="D15" s="14">
        <f>B15*C6</f>
        <v>15.2503042</v>
      </c>
      <c r="E15" s="10" t="s">
        <v>114</v>
      </c>
    </row>
    <row r="16">
      <c r="A16" s="10" t="s">
        <v>120</v>
      </c>
      <c r="B16" s="59">
        <f>213.85</f>
        <v>213.85</v>
      </c>
      <c r="C16" s="14">
        <f>B16*C5</f>
        <v>130.4626936</v>
      </c>
      <c r="D16" s="14">
        <f>B16*C6</f>
        <v>83.38730642</v>
      </c>
      <c r="E16" s="10" t="s">
        <v>114</v>
      </c>
    </row>
    <row r="17">
      <c r="B17" s="14"/>
      <c r="C17" s="14"/>
      <c r="D17" s="14"/>
    </row>
    <row r="18">
      <c r="A18" s="3" t="s">
        <v>346</v>
      </c>
      <c r="B18" s="13"/>
      <c r="C18" s="13"/>
      <c r="D18" s="14"/>
      <c r="E18" s="10" t="s">
        <v>20</v>
      </c>
      <c r="F18" s="10" t="s">
        <v>16</v>
      </c>
    </row>
    <row r="19">
      <c r="A19" s="10" t="s">
        <v>347</v>
      </c>
      <c r="B19" s="14">
        <f>B7*0.1</f>
        <v>929.312</v>
      </c>
      <c r="C19" s="14">
        <f>B19*C5</f>
        <v>566.942</v>
      </c>
      <c r="D19" s="14">
        <f>B19*C6</f>
        <v>362.37</v>
      </c>
      <c r="E19" s="14">
        <f>B4*0.33</f>
        <v>0</v>
      </c>
      <c r="F19" s="14">
        <f t="shared" ref="F19:F20" si="1">SUM(C19:E19)</f>
        <v>929.312</v>
      </c>
    </row>
    <row r="20">
      <c r="A20" s="10" t="s">
        <v>348</v>
      </c>
      <c r="B20" s="14">
        <f>B7*0.1</f>
        <v>929.312</v>
      </c>
      <c r="C20" s="14">
        <f>B20*C5</f>
        <v>566.942</v>
      </c>
      <c r="D20" s="14">
        <f>B20*C6</f>
        <v>362.37</v>
      </c>
      <c r="E20" s="14">
        <f>B4*0.33</f>
        <v>0</v>
      </c>
      <c r="F20" s="14">
        <f t="shared" si="1"/>
        <v>929.312</v>
      </c>
    </row>
    <row r="21">
      <c r="A21" s="10" t="s">
        <v>349</v>
      </c>
      <c r="B21" s="14">
        <f>B7*0.1</f>
        <v>929.312</v>
      </c>
      <c r="C21" s="14">
        <f>B21*C5</f>
        <v>566.942</v>
      </c>
      <c r="D21" s="14">
        <f>B21*C6</f>
        <v>362.37</v>
      </c>
      <c r="E21" s="14">
        <f>B4*0.33</f>
        <v>0</v>
      </c>
      <c r="F21" s="14">
        <f>Sum(C21:E21)</f>
        <v>929.312</v>
      </c>
    </row>
    <row r="22">
      <c r="A22" s="10"/>
    </row>
    <row r="23">
      <c r="A23" s="10" t="s">
        <v>350</v>
      </c>
      <c r="C23" s="14">
        <f>SUM(C10:C20)-C12</f>
        <v>3025.62051</v>
      </c>
      <c r="D23" s="14">
        <f>SUM(D10:D20)</f>
        <v>1970.336184</v>
      </c>
    </row>
    <row r="24">
      <c r="A24" s="47">
        <v>45122.0</v>
      </c>
      <c r="C24" s="13">
        <f t="shared" ref="C24:D24" si="2">C23/2</f>
        <v>1512.810255</v>
      </c>
      <c r="D24" s="14">
        <f t="shared" si="2"/>
        <v>985.1680918</v>
      </c>
    </row>
    <row r="25">
      <c r="A25" s="47">
        <v>45137.0</v>
      </c>
      <c r="C25" s="13">
        <f t="shared" ref="C25:D25" si="3">C23/2</f>
        <v>1512.810255</v>
      </c>
      <c r="D25" s="13">
        <f t="shared" si="3"/>
        <v>985.1680918</v>
      </c>
    </row>
    <row r="26">
      <c r="A26" s="10" t="s">
        <v>351</v>
      </c>
      <c r="C26" s="10" t="s">
        <v>17</v>
      </c>
      <c r="D26" s="10" t="s">
        <v>23</v>
      </c>
    </row>
    <row r="27">
      <c r="A27" s="10"/>
      <c r="C27" s="14">
        <f>B5-C23</f>
        <v>2643.79949</v>
      </c>
      <c r="D27" s="14">
        <f>B6-D23</f>
        <v>1653.363816</v>
      </c>
    </row>
    <row r="29">
      <c r="A29" s="49"/>
      <c r="B29" s="49"/>
      <c r="C29" s="49"/>
      <c r="D29" s="49"/>
    </row>
    <row r="30">
      <c r="A30" s="3" t="s">
        <v>126</v>
      </c>
      <c r="C30" s="10" t="s">
        <v>128</v>
      </c>
    </row>
    <row r="31">
      <c r="A31" s="10" t="s">
        <v>130</v>
      </c>
      <c r="B31" s="13">
        <f>3210.13</f>
        <v>3210.13</v>
      </c>
      <c r="C31" s="47">
        <v>45152.0</v>
      </c>
      <c r="D31" s="10"/>
    </row>
    <row r="32">
      <c r="A32" s="10" t="s">
        <v>131</v>
      </c>
      <c r="B32" s="13">
        <f>2579.79</f>
        <v>2579.79</v>
      </c>
      <c r="C32" s="47">
        <v>45152.0</v>
      </c>
    </row>
    <row r="33">
      <c r="A33" s="10" t="s">
        <v>133</v>
      </c>
    </row>
    <row r="34">
      <c r="A34" s="3"/>
      <c r="B34" s="10"/>
      <c r="C34" s="66"/>
      <c r="D34" s="66"/>
    </row>
    <row r="35">
      <c r="A35" s="67" t="s">
        <v>352</v>
      </c>
      <c r="B35" s="51" t="s">
        <v>353</v>
      </c>
      <c r="C35" s="68">
        <v>0.6</v>
      </c>
      <c r="D35" s="68">
        <v>0.4</v>
      </c>
    </row>
    <row r="36">
      <c r="A36" s="10" t="s">
        <v>354</v>
      </c>
      <c r="B36" s="13"/>
      <c r="C36" s="14"/>
      <c r="D36" s="14"/>
    </row>
    <row r="37">
      <c r="A37" s="10" t="s">
        <v>355</v>
      </c>
      <c r="B37" s="69"/>
    </row>
    <row r="39">
      <c r="A39" s="51"/>
      <c r="B39" s="51"/>
      <c r="C39" s="51"/>
    </row>
    <row r="40">
      <c r="B40" s="14"/>
      <c r="C40" s="14"/>
      <c r="D40" s="14"/>
      <c r="E40" s="14"/>
      <c r="F40" s="14"/>
    </row>
    <row r="41">
      <c r="A41" s="10"/>
    </row>
    <row r="42">
      <c r="A42" s="1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9" max="9" width="11.25"/>
    <col customWidth="1" min="10" max="10" width="18.63"/>
  </cols>
  <sheetData>
    <row r="1">
      <c r="A1" s="35" t="s">
        <v>134</v>
      </c>
      <c r="D1" s="35" t="s">
        <v>135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36" t="s">
        <v>136</v>
      </c>
      <c r="B2" s="37">
        <v>45129.0</v>
      </c>
      <c r="C2" s="36"/>
      <c r="D2" s="36" t="s">
        <v>136</v>
      </c>
      <c r="E2" s="18"/>
      <c r="F2" s="37">
        <v>45131.0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36" t="s">
        <v>137</v>
      </c>
      <c r="B3" s="26">
        <v>359.94</v>
      </c>
      <c r="C3" s="36"/>
      <c r="D3" s="36" t="s">
        <v>137</v>
      </c>
      <c r="E3" s="18"/>
      <c r="F3" s="26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36" t="s">
        <v>138</v>
      </c>
      <c r="B4" s="39">
        <v>45151.0</v>
      </c>
      <c r="C4" s="36"/>
      <c r="D4" s="36" t="s">
        <v>138</v>
      </c>
      <c r="E4" s="18"/>
      <c r="F4" s="39">
        <v>45155.0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2"/>
      <c r="B5" s="12"/>
      <c r="C5" s="18"/>
      <c r="D5" s="1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2" t="s">
        <v>139</v>
      </c>
      <c r="C6" s="19" t="s">
        <v>140</v>
      </c>
      <c r="D6" s="18" t="s">
        <v>141</v>
      </c>
      <c r="E6" s="12" t="s">
        <v>67</v>
      </c>
      <c r="F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2"/>
      <c r="B7" s="16" t="s">
        <v>292</v>
      </c>
      <c r="C7" s="62">
        <v>45497.0</v>
      </c>
      <c r="D7" s="28">
        <v>16.94</v>
      </c>
      <c r="E7" s="42" t="s">
        <v>106</v>
      </c>
      <c r="F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2"/>
      <c r="B8" s="16" t="s">
        <v>294</v>
      </c>
      <c r="C8" s="62">
        <v>45495.0</v>
      </c>
      <c r="D8" s="28">
        <v>14.68</v>
      </c>
      <c r="E8" s="42" t="s">
        <v>106</v>
      </c>
      <c r="F8" s="4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2"/>
      <c r="B9" s="16" t="s">
        <v>294</v>
      </c>
      <c r="C9" s="62">
        <v>45495.0</v>
      </c>
      <c r="D9" s="28">
        <v>18.07</v>
      </c>
      <c r="E9" s="42" t="s">
        <v>106</v>
      </c>
      <c r="F9" s="43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2"/>
      <c r="B10" s="16" t="s">
        <v>256</v>
      </c>
      <c r="C10" s="62">
        <v>45495.0</v>
      </c>
      <c r="D10" s="28">
        <v>3.39</v>
      </c>
      <c r="E10" s="42" t="s">
        <v>103</v>
      </c>
      <c r="F10" s="4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2"/>
      <c r="B11" s="16" t="s">
        <v>256</v>
      </c>
      <c r="C11" s="62">
        <v>45495.0</v>
      </c>
      <c r="D11" s="28">
        <v>145.77</v>
      </c>
      <c r="E11" s="42" t="s">
        <v>103</v>
      </c>
      <c r="F11" s="4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2"/>
      <c r="B12" s="16" t="s">
        <v>356</v>
      </c>
      <c r="C12" s="62">
        <v>45494.0</v>
      </c>
      <c r="D12" s="28">
        <v>22.99</v>
      </c>
      <c r="E12" s="42" t="s">
        <v>105</v>
      </c>
      <c r="F12" s="4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2"/>
      <c r="B13" s="16" t="s">
        <v>357</v>
      </c>
      <c r="C13" s="62">
        <v>45493.0</v>
      </c>
      <c r="D13" s="28">
        <v>19.19</v>
      </c>
      <c r="E13" s="42" t="s">
        <v>98</v>
      </c>
      <c r="F13" s="43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2"/>
      <c r="B14" s="16" t="s">
        <v>324</v>
      </c>
      <c r="C14" s="62">
        <v>45493.0</v>
      </c>
      <c r="D14" s="28">
        <v>21.46</v>
      </c>
      <c r="E14" s="42" t="s">
        <v>95</v>
      </c>
      <c r="F14" s="4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2"/>
      <c r="B15" s="16" t="s">
        <v>358</v>
      </c>
      <c r="C15" s="62">
        <v>45491.0</v>
      </c>
      <c r="D15" s="28">
        <v>15.81</v>
      </c>
      <c r="E15" s="42" t="s">
        <v>98</v>
      </c>
      <c r="F15" s="4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2"/>
      <c r="B16" s="16" t="s">
        <v>359</v>
      </c>
      <c r="C16" s="62">
        <v>45491.0</v>
      </c>
      <c r="D16" s="28">
        <v>25.59</v>
      </c>
      <c r="E16" s="42" t="s">
        <v>98</v>
      </c>
      <c r="F16" s="4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2"/>
      <c r="B17" s="16" t="s">
        <v>360</v>
      </c>
      <c r="C17" s="62">
        <v>45491.0</v>
      </c>
      <c r="D17" s="28">
        <v>29.38</v>
      </c>
      <c r="E17" s="42" t="s">
        <v>98</v>
      </c>
      <c r="F17" s="4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2"/>
      <c r="B18" s="12" t="s">
        <v>324</v>
      </c>
      <c r="C18" s="62">
        <v>45491.0</v>
      </c>
      <c r="D18" s="28">
        <v>26.97</v>
      </c>
      <c r="E18" s="42" t="s">
        <v>95</v>
      </c>
      <c r="F18" s="4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2"/>
      <c r="B19" s="16" t="s">
        <v>361</v>
      </c>
      <c r="C19" s="62">
        <v>45491.0</v>
      </c>
      <c r="D19" s="28">
        <v>6.78</v>
      </c>
      <c r="E19" s="42" t="s">
        <v>93</v>
      </c>
      <c r="F19" s="4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2"/>
      <c r="B20" s="16" t="s">
        <v>362</v>
      </c>
      <c r="C20" s="62">
        <v>45491.0</v>
      </c>
      <c r="D20" s="28">
        <v>9.3</v>
      </c>
      <c r="E20" s="42" t="s">
        <v>105</v>
      </c>
      <c r="F20" s="4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2"/>
      <c r="B21" s="16" t="s">
        <v>363</v>
      </c>
      <c r="C21" s="62">
        <v>45490.0</v>
      </c>
      <c r="D21" s="28">
        <v>100.14</v>
      </c>
      <c r="E21" s="42" t="s">
        <v>107</v>
      </c>
      <c r="F21" s="4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2"/>
      <c r="B22" s="16" t="s">
        <v>305</v>
      </c>
      <c r="C22" s="62">
        <v>45489.0</v>
      </c>
      <c r="D22" s="28">
        <v>12.42</v>
      </c>
      <c r="E22" s="42" t="s">
        <v>268</v>
      </c>
      <c r="F22" s="4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2"/>
      <c r="B23" s="16" t="s">
        <v>364</v>
      </c>
      <c r="C23" s="62">
        <v>45489.0</v>
      </c>
      <c r="D23" s="28">
        <v>23.83</v>
      </c>
      <c r="E23" s="42" t="s">
        <v>105</v>
      </c>
      <c r="F23" s="4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2"/>
      <c r="B24" s="16" t="s">
        <v>303</v>
      </c>
      <c r="C24" s="62">
        <v>45489.0</v>
      </c>
      <c r="D24" s="28">
        <v>8.99</v>
      </c>
      <c r="E24" s="42" t="s">
        <v>101</v>
      </c>
      <c r="F24" s="4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2"/>
      <c r="B25" s="16" t="s">
        <v>305</v>
      </c>
      <c r="C25" s="62">
        <v>45488.0</v>
      </c>
      <c r="D25" s="28">
        <v>4.51</v>
      </c>
      <c r="E25" s="42" t="s">
        <v>268</v>
      </c>
      <c r="F25" s="4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2"/>
      <c r="B26" s="16" t="s">
        <v>365</v>
      </c>
      <c r="C26" s="62">
        <v>45488.0</v>
      </c>
      <c r="D26" s="28">
        <v>47.22</v>
      </c>
      <c r="E26" s="42" t="s">
        <v>105</v>
      </c>
      <c r="F26" s="4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2"/>
      <c r="B27" s="16" t="s">
        <v>366</v>
      </c>
      <c r="C27" s="62">
        <v>45487.0</v>
      </c>
      <c r="D27" s="28">
        <v>238.45</v>
      </c>
      <c r="E27" s="42" t="s">
        <v>86</v>
      </c>
      <c r="F27" s="4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2"/>
      <c r="B28" s="16" t="s">
        <v>312</v>
      </c>
      <c r="C28" s="62">
        <v>45486.0</v>
      </c>
      <c r="D28" s="28">
        <v>11.29</v>
      </c>
      <c r="E28" s="42" t="s">
        <v>268</v>
      </c>
      <c r="F28" s="43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2"/>
      <c r="B29" s="16" t="s">
        <v>324</v>
      </c>
      <c r="C29" s="62">
        <v>45486.0</v>
      </c>
      <c r="D29" s="28">
        <v>38.21</v>
      </c>
      <c r="E29" s="42" t="s">
        <v>95</v>
      </c>
      <c r="F29" s="43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2"/>
      <c r="B30" s="16" t="s">
        <v>367</v>
      </c>
      <c r="C30" s="62">
        <v>45485.0</v>
      </c>
      <c r="D30" s="28">
        <v>45.47</v>
      </c>
      <c r="E30" s="42" t="s">
        <v>90</v>
      </c>
      <c r="F30" s="4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2"/>
      <c r="B31" s="16" t="s">
        <v>294</v>
      </c>
      <c r="C31" s="62">
        <v>45483.0</v>
      </c>
      <c r="D31" s="28">
        <v>4.51</v>
      </c>
      <c r="E31" s="42" t="s">
        <v>106</v>
      </c>
      <c r="F31" s="4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2"/>
      <c r="B32" s="16" t="s">
        <v>294</v>
      </c>
      <c r="C32" s="62">
        <v>45483.0</v>
      </c>
      <c r="D32" s="28">
        <v>4.51</v>
      </c>
      <c r="E32" s="42" t="s">
        <v>106</v>
      </c>
      <c r="F32" s="4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2"/>
      <c r="B33" s="16" t="s">
        <v>301</v>
      </c>
      <c r="C33" s="62">
        <v>45483.0</v>
      </c>
      <c r="D33" s="28">
        <v>18.8</v>
      </c>
      <c r="E33" s="42" t="s">
        <v>90</v>
      </c>
      <c r="F33" s="4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2"/>
      <c r="B34" s="16" t="s">
        <v>314</v>
      </c>
      <c r="C34" s="63">
        <v>45482.0</v>
      </c>
      <c r="D34" s="28">
        <v>55.29</v>
      </c>
      <c r="E34" s="42" t="s">
        <v>105</v>
      </c>
      <c r="F34" s="4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2"/>
      <c r="B35" s="16" t="s">
        <v>329</v>
      </c>
      <c r="C35" s="63">
        <v>45482.0</v>
      </c>
      <c r="D35" s="28">
        <v>10.14</v>
      </c>
      <c r="E35" s="42" t="s">
        <v>105</v>
      </c>
      <c r="F35" s="4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2"/>
      <c r="B36" s="16" t="s">
        <v>168</v>
      </c>
      <c r="C36" s="63">
        <v>45481.0</v>
      </c>
      <c r="D36" s="28">
        <v>50.0</v>
      </c>
      <c r="E36" s="42" t="s">
        <v>85</v>
      </c>
      <c r="F36" s="4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2"/>
      <c r="B37" s="16" t="s">
        <v>368</v>
      </c>
      <c r="C37" s="63">
        <v>45481.0</v>
      </c>
      <c r="D37" s="28">
        <v>55.98</v>
      </c>
      <c r="E37" s="42" t="s">
        <v>106</v>
      </c>
      <c r="F37" s="4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2"/>
      <c r="B38" s="16" t="s">
        <v>305</v>
      </c>
      <c r="C38" s="63">
        <v>45480.0</v>
      </c>
      <c r="D38" s="28">
        <v>10.16</v>
      </c>
      <c r="E38" s="42" t="s">
        <v>268</v>
      </c>
      <c r="F38" s="4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2"/>
      <c r="B39" s="16" t="s">
        <v>369</v>
      </c>
      <c r="C39" s="63">
        <v>45480.0</v>
      </c>
      <c r="D39" s="28">
        <v>350.25</v>
      </c>
      <c r="E39" s="42" t="s">
        <v>98</v>
      </c>
      <c r="F39" s="4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2"/>
      <c r="B40" s="16" t="s">
        <v>370</v>
      </c>
      <c r="C40" s="63">
        <v>45480.0</v>
      </c>
      <c r="D40" s="28">
        <v>197.74</v>
      </c>
      <c r="E40" s="42" t="s">
        <v>103</v>
      </c>
      <c r="F40" s="4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2"/>
      <c r="B41" s="16" t="s">
        <v>308</v>
      </c>
      <c r="C41" s="63">
        <v>45480.0</v>
      </c>
      <c r="D41" s="28">
        <v>78.31</v>
      </c>
      <c r="E41" s="42" t="s">
        <v>89</v>
      </c>
      <c r="F41" s="4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2"/>
      <c r="B42" s="16" t="s">
        <v>371</v>
      </c>
      <c r="C42" s="63">
        <v>45480.0</v>
      </c>
      <c r="D42" s="28">
        <v>67.08</v>
      </c>
      <c r="E42" s="42" t="s">
        <v>93</v>
      </c>
      <c r="F42" s="4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2"/>
      <c r="B43" s="16" t="s">
        <v>266</v>
      </c>
      <c r="C43" s="63">
        <v>45479.0</v>
      </c>
      <c r="D43" s="28">
        <v>59.78</v>
      </c>
      <c r="E43" s="42" t="s">
        <v>105</v>
      </c>
      <c r="F43" s="4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2"/>
      <c r="B44" s="16" t="s">
        <v>217</v>
      </c>
      <c r="C44" s="63">
        <v>45478.0</v>
      </c>
      <c r="D44" s="28">
        <v>170.86</v>
      </c>
      <c r="E44" s="42" t="s">
        <v>89</v>
      </c>
      <c r="F44" s="4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2"/>
      <c r="B45" s="16" t="s">
        <v>294</v>
      </c>
      <c r="C45" s="63">
        <v>45475.0</v>
      </c>
      <c r="D45" s="28">
        <v>18.07</v>
      </c>
      <c r="E45" s="42" t="s">
        <v>106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2"/>
      <c r="B46" s="16" t="s">
        <v>372</v>
      </c>
      <c r="C46" s="63">
        <v>45475.0</v>
      </c>
      <c r="D46" s="28">
        <v>12.41</v>
      </c>
      <c r="E46" s="42" t="s">
        <v>105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2"/>
      <c r="B47" s="16" t="s">
        <v>373</v>
      </c>
      <c r="C47" s="63">
        <v>45475.0</v>
      </c>
      <c r="D47" s="28">
        <v>18.61</v>
      </c>
      <c r="E47" s="42" t="s">
        <v>105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2"/>
      <c r="B48" s="16" t="s">
        <v>328</v>
      </c>
      <c r="C48" s="63">
        <v>45475.0</v>
      </c>
      <c r="D48" s="28">
        <v>90.39</v>
      </c>
      <c r="E48" s="42" t="s">
        <v>99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2"/>
      <c r="B49" s="16" t="s">
        <v>256</v>
      </c>
      <c r="C49" s="63">
        <v>45474.0</v>
      </c>
      <c r="D49" s="28">
        <v>145.77</v>
      </c>
      <c r="E49" s="42" t="s">
        <v>103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2"/>
      <c r="B50" s="16" t="s">
        <v>305</v>
      </c>
      <c r="C50" s="62">
        <v>45473.0</v>
      </c>
      <c r="D50" s="28">
        <v>5.64</v>
      </c>
      <c r="E50" s="42" t="s">
        <v>268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2"/>
      <c r="B51" s="16" t="s">
        <v>305</v>
      </c>
      <c r="C51" s="62">
        <v>45473.0</v>
      </c>
      <c r="D51" s="28">
        <v>24.85</v>
      </c>
      <c r="E51" s="42" t="s">
        <v>268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2"/>
      <c r="B52" s="16" t="s">
        <v>374</v>
      </c>
      <c r="C52" s="62">
        <v>45472.0</v>
      </c>
      <c r="D52" s="28">
        <v>36.15</v>
      </c>
      <c r="E52" s="42" t="s">
        <v>98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2"/>
      <c r="B53" s="16" t="s">
        <v>375</v>
      </c>
      <c r="C53" s="62">
        <v>45472.0</v>
      </c>
      <c r="D53" s="28">
        <v>51.38</v>
      </c>
      <c r="E53" s="42" t="s">
        <v>98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2"/>
      <c r="B54" s="16" t="s">
        <v>376</v>
      </c>
      <c r="C54" s="62">
        <v>45471.0</v>
      </c>
      <c r="D54" s="28">
        <v>67.78</v>
      </c>
      <c r="E54" s="42" t="s">
        <v>94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2"/>
      <c r="B55" s="16" t="s">
        <v>377</v>
      </c>
      <c r="C55" s="62">
        <v>45471.0</v>
      </c>
      <c r="D55" s="28">
        <v>10.29</v>
      </c>
      <c r="E55" s="42" t="s">
        <v>105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2"/>
      <c r="B56" s="16" t="s">
        <v>378</v>
      </c>
      <c r="C56" s="62">
        <v>45471.0</v>
      </c>
      <c r="D56" s="28">
        <v>76.54</v>
      </c>
      <c r="E56" s="42" t="s">
        <v>93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2"/>
      <c r="B57" s="16" t="s">
        <v>158</v>
      </c>
      <c r="C57" s="62">
        <v>45471.0</v>
      </c>
      <c r="D57" s="28">
        <v>51.28</v>
      </c>
      <c r="E57" s="42" t="s">
        <v>96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2"/>
      <c r="B58" s="16" t="s">
        <v>379</v>
      </c>
      <c r="C58" s="62">
        <v>45471.0</v>
      </c>
      <c r="D58" s="28">
        <v>202.73</v>
      </c>
      <c r="E58" s="42" t="s">
        <v>89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2"/>
      <c r="B59" s="16" t="s">
        <v>305</v>
      </c>
      <c r="C59" s="62">
        <v>45470.0</v>
      </c>
      <c r="D59" s="28">
        <v>7.9</v>
      </c>
      <c r="E59" s="42" t="s">
        <v>268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2"/>
      <c r="B60" s="16" t="s">
        <v>305</v>
      </c>
      <c r="C60" s="62">
        <v>45470.0</v>
      </c>
      <c r="D60" s="28">
        <v>14.68</v>
      </c>
      <c r="E60" s="42" t="s">
        <v>268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2"/>
      <c r="B61" s="16" t="s">
        <v>380</v>
      </c>
      <c r="C61" s="62">
        <v>45470.0</v>
      </c>
      <c r="D61" s="28">
        <v>22.04</v>
      </c>
      <c r="E61" s="42" t="s">
        <v>94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1"/>
      <c r="B62" s="16" t="s">
        <v>381</v>
      </c>
      <c r="C62" s="62">
        <v>45469.0</v>
      </c>
      <c r="D62" s="28">
        <v>97.49</v>
      </c>
      <c r="E62" s="42" t="s">
        <v>95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2"/>
      <c r="B63" s="16" t="s">
        <v>370</v>
      </c>
      <c r="C63" s="62">
        <v>45469.0</v>
      </c>
      <c r="D63" s="28">
        <v>63.45</v>
      </c>
      <c r="E63" s="42" t="s">
        <v>103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2"/>
      <c r="B64" s="16" t="s">
        <v>335</v>
      </c>
      <c r="C64" s="62">
        <v>45468.0</v>
      </c>
      <c r="D64" s="28">
        <v>195.5</v>
      </c>
      <c r="E64" s="42" t="s">
        <v>100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2"/>
      <c r="B65" s="16" t="s">
        <v>152</v>
      </c>
      <c r="C65" s="62">
        <v>45468.0</v>
      </c>
      <c r="D65" s="28">
        <v>-13066.61</v>
      </c>
      <c r="E65" s="42" t="s">
        <v>153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2"/>
      <c r="B66" s="16" t="s">
        <v>256</v>
      </c>
      <c r="C66" s="62">
        <v>45467.0</v>
      </c>
      <c r="D66" s="28">
        <v>145.77</v>
      </c>
      <c r="E66" s="42" t="s">
        <v>103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2"/>
      <c r="B67" s="16" t="s">
        <v>382</v>
      </c>
      <c r="C67" s="62">
        <v>45467.0</v>
      </c>
      <c r="D67" s="28">
        <v>10.0</v>
      </c>
      <c r="E67" s="42" t="s">
        <v>102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12"/>
      <c r="B68" s="11" t="s">
        <v>383</v>
      </c>
      <c r="C68" s="62">
        <v>45485.0</v>
      </c>
      <c r="D68" s="26">
        <v>116.25</v>
      </c>
      <c r="E68" s="42" t="s">
        <v>89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12"/>
      <c r="B69" s="11" t="s">
        <v>384</v>
      </c>
      <c r="C69" s="62">
        <v>45486.0</v>
      </c>
      <c r="D69" s="26">
        <v>120.64</v>
      </c>
      <c r="E69" s="42" t="s">
        <v>103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12"/>
      <c r="B70" s="11" t="s">
        <v>385</v>
      </c>
      <c r="C70" s="62">
        <v>45494.0</v>
      </c>
      <c r="D70" s="26">
        <v>19.75</v>
      </c>
      <c r="E70" s="42" t="s">
        <v>105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70" t="s">
        <v>386</v>
      </c>
      <c r="C71" s="62">
        <v>45494.0</v>
      </c>
      <c r="D71" s="26">
        <v>63.47</v>
      </c>
      <c r="E71" s="42" t="s">
        <v>105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1" t="s">
        <v>387</v>
      </c>
      <c r="C72" s="62">
        <v>45494.0</v>
      </c>
      <c r="D72" s="26">
        <v>58.09</v>
      </c>
      <c r="E72" s="42" t="s">
        <v>82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</sheetData>
  <mergeCells count="2">
    <mergeCell ref="A1:B1"/>
    <mergeCell ref="D1:E1"/>
  </mergeCells>
  <dataValidations>
    <dataValidation type="list" allowBlank="1" sqref="E7:E72">
      <formula1>"PAYMENT,DINE IN,TAKEOUT,DELIVERY,COFFEE,GROCERIES,INTERNET,MOBILE,PRIME VIDEO,HEALTH,CANNABIS,ALCOHOL,GAS,PARKING,NEWSPAPER,CLOTHES,TECHNOLOGY,FURNITURE,CHARITY,ENTERTAINMENT,PETS,HOTELS,TRANSPORTATION,HOUSEHOLD,GIFTS,FLIGHTS,PARAMOUNT,OTHER/NONE,Disney+"</formula1>
    </dataValidation>
  </dataValidations>
  <hyperlinks>
    <hyperlink r:id="rId2" ref="B71"/>
  </hyperlinks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3" t="s">
        <v>108</v>
      </c>
      <c r="B1" s="10" t="s">
        <v>11</v>
      </c>
    </row>
    <row r="2">
      <c r="A2" s="3"/>
      <c r="B2" s="47"/>
      <c r="D2" s="47"/>
    </row>
    <row r="3">
      <c r="A3" s="3" t="s">
        <v>109</v>
      </c>
      <c r="B3" s="47"/>
      <c r="D3" s="47"/>
    </row>
    <row r="4">
      <c r="A4" s="10" t="s">
        <v>110</v>
      </c>
      <c r="B4" s="13">
        <v>0.0</v>
      </c>
      <c r="C4" s="48"/>
    </row>
    <row r="5">
      <c r="A5" s="10" t="s">
        <v>17</v>
      </c>
      <c r="B5" s="28">
        <f>3112.28*2</f>
        <v>6224.56</v>
      </c>
      <c r="C5" s="48">
        <f>B5/B7</f>
        <v>0.6049546616</v>
      </c>
    </row>
    <row r="6">
      <c r="A6" s="10" t="s">
        <v>23</v>
      </c>
      <c r="B6" s="28">
        <f>2032.37*2</f>
        <v>4064.74</v>
      </c>
      <c r="C6" s="48">
        <f>B6/B7</f>
        <v>0.3950453384</v>
      </c>
    </row>
    <row r="7">
      <c r="A7" s="10" t="s">
        <v>111</v>
      </c>
      <c r="B7" s="14">
        <f>SUM(B5:B6)</f>
        <v>10289.3</v>
      </c>
    </row>
    <row r="9">
      <c r="A9" s="3" t="s">
        <v>112</v>
      </c>
      <c r="C9" s="10" t="s">
        <v>17</v>
      </c>
      <c r="D9" s="10" t="s">
        <v>23</v>
      </c>
    </row>
    <row r="10">
      <c r="A10" s="10" t="s">
        <v>388</v>
      </c>
      <c r="B10" s="13">
        <f>1711.29</f>
        <v>1711.29</v>
      </c>
      <c r="C10" s="14">
        <f>B10*C5</f>
        <v>1035.252863</v>
      </c>
      <c r="D10" s="14">
        <f>B10*C6</f>
        <v>676.0371371</v>
      </c>
    </row>
    <row r="11">
      <c r="A11" s="10" t="s">
        <v>115</v>
      </c>
      <c r="B11" s="13">
        <f>175.43</f>
        <v>175.43</v>
      </c>
      <c r="C11" s="14">
        <f>B11*C5</f>
        <v>106.1271963</v>
      </c>
      <c r="D11" s="14">
        <f>B11*C6</f>
        <v>69.30280371</v>
      </c>
    </row>
    <row r="12">
      <c r="A12" s="10" t="s">
        <v>116</v>
      </c>
      <c r="B12" s="13">
        <f>93.51</f>
        <v>93.51</v>
      </c>
      <c r="C12" s="14">
        <f>B12*C5</f>
        <v>56.56931041</v>
      </c>
      <c r="D12" s="14">
        <f>B12*C6</f>
        <v>36.94068959</v>
      </c>
    </row>
    <row r="13">
      <c r="A13" s="10" t="s">
        <v>117</v>
      </c>
      <c r="B13" s="13">
        <v>81.46</v>
      </c>
      <c r="C13" s="14">
        <f>B13*C5</f>
        <v>49.27960674</v>
      </c>
      <c r="D13" s="14">
        <f>B13*C6</f>
        <v>32.18039326</v>
      </c>
    </row>
    <row r="14">
      <c r="A14" s="10" t="s">
        <v>118</v>
      </c>
      <c r="B14" s="13">
        <v>134.48</v>
      </c>
      <c r="C14" s="14">
        <f>B14*C5</f>
        <v>81.3543029</v>
      </c>
      <c r="D14" s="14">
        <f>B14*C6</f>
        <v>53.1256971</v>
      </c>
    </row>
    <row r="15">
      <c r="A15" s="10" t="s">
        <v>119</v>
      </c>
      <c r="B15" s="13">
        <f>39.2</f>
        <v>39.2</v>
      </c>
      <c r="C15" s="14">
        <f>B15*C5</f>
        <v>23.71422274</v>
      </c>
      <c r="D15" s="14">
        <f>B15*C6</f>
        <v>15.48577726</v>
      </c>
    </row>
    <row r="16">
      <c r="A16" s="10" t="s">
        <v>120</v>
      </c>
      <c r="B16" s="13">
        <f>242.15</f>
        <v>242.15</v>
      </c>
      <c r="C16" s="14">
        <f>B16*C5</f>
        <v>146.4897713</v>
      </c>
      <c r="D16" s="14">
        <f>B16*C6</f>
        <v>95.66022868</v>
      </c>
    </row>
    <row r="17">
      <c r="B17" s="14"/>
      <c r="C17" s="14"/>
      <c r="D17" s="14"/>
    </row>
    <row r="18">
      <c r="A18" s="10" t="s">
        <v>121</v>
      </c>
      <c r="B18" s="14">
        <f t="shared" ref="B18:D18" si="1">Sum(B10:B16)</f>
        <v>2477.52</v>
      </c>
      <c r="C18" s="14">
        <f t="shared" si="1"/>
        <v>1498.787273</v>
      </c>
      <c r="D18" s="14">
        <f t="shared" si="1"/>
        <v>978.7327267</v>
      </c>
    </row>
    <row r="19">
      <c r="B19" s="14"/>
      <c r="C19" s="14"/>
      <c r="D19" s="14"/>
    </row>
    <row r="20">
      <c r="A20" s="3" t="s">
        <v>122</v>
      </c>
      <c r="B20" s="13"/>
      <c r="C20" s="13"/>
      <c r="D20" s="14"/>
    </row>
    <row r="21">
      <c r="A21" s="10" t="s">
        <v>123</v>
      </c>
      <c r="B21" s="14">
        <f>B7*0.25</f>
        <v>2572.325</v>
      </c>
      <c r="C21" s="14">
        <f>B21*C5</f>
        <v>1556.14</v>
      </c>
      <c r="D21" s="14">
        <f>B21*C6</f>
        <v>1016.185</v>
      </c>
    </row>
    <row r="23">
      <c r="A23" s="10" t="s">
        <v>124</v>
      </c>
      <c r="B23" s="14">
        <f t="shared" ref="B23:D23" si="2">B18+B21</f>
        <v>5049.845</v>
      </c>
      <c r="C23" s="14">
        <f t="shared" si="2"/>
        <v>3054.927273</v>
      </c>
      <c r="D23" s="14">
        <f t="shared" si="2"/>
        <v>1994.917727</v>
      </c>
    </row>
    <row r="25">
      <c r="A25" s="10" t="s">
        <v>125</v>
      </c>
      <c r="C25" s="14">
        <f>B5-C23</f>
        <v>3169.632727</v>
      </c>
      <c r="D25" s="14">
        <f>B6-D23</f>
        <v>2069.822273</v>
      </c>
    </row>
    <row r="26">
      <c r="A26" s="47">
        <v>45519.0</v>
      </c>
      <c r="C26" s="14">
        <f t="shared" ref="C26:D26" si="3">C25/2</f>
        <v>1584.816363</v>
      </c>
      <c r="D26" s="14">
        <f t="shared" si="3"/>
        <v>1034.911137</v>
      </c>
    </row>
    <row r="27">
      <c r="A27" s="47">
        <v>45534.0</v>
      </c>
      <c r="C27" s="14">
        <f t="shared" ref="C27:D27" si="4">C25/2</f>
        <v>1584.816363</v>
      </c>
      <c r="D27" s="13">
        <f t="shared" si="4"/>
        <v>1034.911137</v>
      </c>
    </row>
    <row r="29">
      <c r="A29" s="49"/>
      <c r="B29" s="49"/>
      <c r="C29" s="49"/>
      <c r="D29" s="49"/>
    </row>
    <row r="30">
      <c r="A30" s="3" t="s">
        <v>126</v>
      </c>
      <c r="C30" s="10" t="s">
        <v>128</v>
      </c>
    </row>
    <row r="31">
      <c r="A31" s="10" t="s">
        <v>130</v>
      </c>
      <c r="B31" s="13" t="str">
        <f>'CC - May 24'!I3</f>
        <v/>
      </c>
      <c r="C31" s="47">
        <v>45092.0</v>
      </c>
    </row>
    <row r="32">
      <c r="A32" s="10" t="s">
        <v>131</v>
      </c>
      <c r="B32" s="13" t="str">
        <f>'CC - May 24'!B3</f>
        <v/>
      </c>
      <c r="C32" s="47">
        <v>45089.0</v>
      </c>
    </row>
    <row r="33">
      <c r="A33" s="10" t="s">
        <v>133</v>
      </c>
      <c r="B33" s="60"/>
      <c r="C33" s="61"/>
    </row>
    <row r="34">
      <c r="B34" s="14"/>
      <c r="C34" s="14"/>
      <c r="D34" s="14"/>
      <c r="E34" s="14"/>
      <c r="F34" s="14"/>
    </row>
    <row r="35">
      <c r="A35" s="10"/>
    </row>
    <row r="36">
      <c r="A36" s="1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5.38"/>
    <col customWidth="1" min="4" max="4" width="9.5"/>
    <col customWidth="1" min="5" max="5" width="17.5"/>
    <col customWidth="1" min="7" max="7" width="22.38"/>
    <col customWidth="1" min="9" max="9" width="11.25"/>
    <col customWidth="1" min="10" max="10" width="18.63"/>
  </cols>
  <sheetData>
    <row r="1">
      <c r="A1" s="35" t="s">
        <v>134</v>
      </c>
      <c r="E1" s="35" t="s">
        <v>135</v>
      </c>
      <c r="G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6" t="s">
        <v>136</v>
      </c>
      <c r="B2" s="37">
        <v>45161.0</v>
      </c>
      <c r="C2" s="36"/>
      <c r="D2" s="18"/>
      <c r="E2" s="36" t="s">
        <v>136</v>
      </c>
      <c r="F2" s="18"/>
      <c r="G2" s="37">
        <v>45162.0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36" t="s">
        <v>137</v>
      </c>
      <c r="B3" s="26"/>
      <c r="C3" s="36"/>
      <c r="D3" s="18"/>
      <c r="E3" s="36" t="s">
        <v>137</v>
      </c>
      <c r="F3" s="18"/>
      <c r="G3" s="2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36" t="s">
        <v>138</v>
      </c>
      <c r="B4" s="39">
        <v>45186.0</v>
      </c>
      <c r="C4" s="36"/>
      <c r="D4" s="18"/>
      <c r="E4" s="36" t="s">
        <v>138</v>
      </c>
      <c r="F4" s="18"/>
      <c r="G4" s="39">
        <v>45186.0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2"/>
      <c r="C5" s="18"/>
      <c r="D5" s="1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2" t="s">
        <v>139</v>
      </c>
      <c r="C6" s="19" t="s">
        <v>140</v>
      </c>
      <c r="D6" s="18" t="s">
        <v>141</v>
      </c>
      <c r="E6" s="12" t="s">
        <v>67</v>
      </c>
      <c r="F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2"/>
      <c r="B7" s="16" t="s">
        <v>389</v>
      </c>
      <c r="C7" s="62">
        <v>45528.0</v>
      </c>
      <c r="D7" s="17">
        <v>599.0</v>
      </c>
      <c r="E7" s="42" t="s">
        <v>84</v>
      </c>
      <c r="F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2"/>
      <c r="B8" s="16" t="s">
        <v>292</v>
      </c>
      <c r="C8" s="62">
        <v>45528.0</v>
      </c>
      <c r="D8" s="17">
        <v>16.94</v>
      </c>
      <c r="E8" s="42" t="s">
        <v>390</v>
      </c>
      <c r="F8" s="4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2"/>
      <c r="B9" s="16" t="s">
        <v>391</v>
      </c>
      <c r="C9" s="62">
        <v>45527.0</v>
      </c>
      <c r="D9" s="17">
        <v>76.47</v>
      </c>
      <c r="E9" s="42" t="s">
        <v>82</v>
      </c>
      <c r="F9" s="43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2"/>
      <c r="B10" s="16" t="s">
        <v>294</v>
      </c>
      <c r="C10" s="62">
        <v>45526.0</v>
      </c>
      <c r="D10" s="17">
        <v>14.68</v>
      </c>
      <c r="E10" s="42" t="s">
        <v>392</v>
      </c>
      <c r="F10" s="4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2"/>
      <c r="B11" s="16" t="s">
        <v>294</v>
      </c>
      <c r="C11" s="62">
        <v>45526.0</v>
      </c>
      <c r="D11" s="17">
        <v>18.07</v>
      </c>
      <c r="E11" s="42" t="s">
        <v>392</v>
      </c>
      <c r="F11" s="4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2"/>
      <c r="B12" s="16" t="s">
        <v>310</v>
      </c>
      <c r="C12" s="62">
        <v>45525.0</v>
      </c>
      <c r="D12" s="17">
        <v>46.95</v>
      </c>
      <c r="E12" s="42" t="s">
        <v>82</v>
      </c>
      <c r="F12" s="4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2"/>
      <c r="B13" s="16" t="s">
        <v>256</v>
      </c>
      <c r="C13" s="62">
        <v>45524.0</v>
      </c>
      <c r="D13" s="17">
        <v>79.1</v>
      </c>
      <c r="E13" s="42" t="s">
        <v>103</v>
      </c>
      <c r="F13" s="43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2"/>
      <c r="B14" s="16" t="s">
        <v>324</v>
      </c>
      <c r="C14" s="62">
        <v>45524.0</v>
      </c>
      <c r="D14" s="17">
        <v>72.77</v>
      </c>
      <c r="E14" s="42" t="s">
        <v>95</v>
      </c>
      <c r="F14" s="4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2"/>
      <c r="B15" s="16" t="s">
        <v>393</v>
      </c>
      <c r="C15" s="62">
        <v>45524.0</v>
      </c>
      <c r="D15" s="17">
        <v>18.35</v>
      </c>
      <c r="E15" s="42" t="s">
        <v>90</v>
      </c>
      <c r="F15" s="4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2"/>
      <c r="B16" s="16" t="s">
        <v>314</v>
      </c>
      <c r="C16" s="62">
        <v>45524.0</v>
      </c>
      <c r="D16" s="17">
        <v>45.4</v>
      </c>
      <c r="E16" s="42" t="s">
        <v>105</v>
      </c>
      <c r="F16" s="4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2"/>
      <c r="B17" s="16" t="s">
        <v>394</v>
      </c>
      <c r="C17" s="62">
        <v>45523.0</v>
      </c>
      <c r="D17" s="17">
        <v>2081.53</v>
      </c>
      <c r="E17" s="42" t="s">
        <v>156</v>
      </c>
      <c r="F17" s="4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2"/>
      <c r="B18" s="12" t="s">
        <v>256</v>
      </c>
      <c r="C18" s="62">
        <v>45523.0</v>
      </c>
      <c r="D18" s="17">
        <v>145.77</v>
      </c>
      <c r="E18" s="42" t="s">
        <v>103</v>
      </c>
      <c r="F18" s="4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2"/>
      <c r="B19" s="12" t="s">
        <v>395</v>
      </c>
      <c r="C19" s="62">
        <v>45521.0</v>
      </c>
      <c r="D19" s="17">
        <v>-33.89</v>
      </c>
      <c r="E19" s="42" t="s">
        <v>98</v>
      </c>
      <c r="F19" s="4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2"/>
      <c r="B20" s="12" t="s">
        <v>395</v>
      </c>
      <c r="C20" s="62">
        <v>45521.0</v>
      </c>
      <c r="D20" s="17">
        <v>33.89</v>
      </c>
      <c r="E20" s="42" t="s">
        <v>98</v>
      </c>
      <c r="F20" s="4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2"/>
      <c r="B21" s="12" t="s">
        <v>395</v>
      </c>
      <c r="C21" s="62">
        <v>45521.0</v>
      </c>
      <c r="D21" s="17">
        <v>89.55</v>
      </c>
      <c r="E21" s="42" t="s">
        <v>98</v>
      </c>
      <c r="F21" s="4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2"/>
      <c r="B22" s="12" t="s">
        <v>396</v>
      </c>
      <c r="C22" s="62">
        <v>45521.0</v>
      </c>
      <c r="D22" s="17">
        <v>12.99</v>
      </c>
      <c r="E22" s="42" t="s">
        <v>98</v>
      </c>
      <c r="F22" s="4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2"/>
      <c r="B23" s="16" t="s">
        <v>397</v>
      </c>
      <c r="C23" s="62">
        <v>45521.0</v>
      </c>
      <c r="D23" s="17">
        <v>25.79</v>
      </c>
      <c r="E23" s="42" t="s">
        <v>105</v>
      </c>
      <c r="F23" s="4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2"/>
      <c r="B24" s="12" t="s">
        <v>398</v>
      </c>
      <c r="C24" s="62">
        <v>45521.0</v>
      </c>
      <c r="D24" s="17">
        <v>65.9</v>
      </c>
      <c r="E24" s="42" t="s">
        <v>98</v>
      </c>
      <c r="F24" s="4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2"/>
      <c r="B25" s="12" t="s">
        <v>399</v>
      </c>
      <c r="C25" s="62">
        <v>45521.0</v>
      </c>
      <c r="D25" s="17">
        <v>83.88</v>
      </c>
      <c r="E25" s="42" t="s">
        <v>98</v>
      </c>
      <c r="F25" s="4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2"/>
      <c r="B26" s="12" t="s">
        <v>305</v>
      </c>
      <c r="C26" s="62">
        <v>45520.0</v>
      </c>
      <c r="D26" s="17">
        <v>12.42</v>
      </c>
      <c r="E26" s="42" t="s">
        <v>392</v>
      </c>
      <c r="F26" s="4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2"/>
      <c r="B27" s="12" t="s">
        <v>305</v>
      </c>
      <c r="C27" s="62">
        <v>45519.0</v>
      </c>
      <c r="D27" s="17">
        <v>4.51</v>
      </c>
      <c r="E27" s="42" t="s">
        <v>392</v>
      </c>
      <c r="F27" s="4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2"/>
      <c r="B28" s="12" t="s">
        <v>312</v>
      </c>
      <c r="C28" s="62">
        <v>45517.0</v>
      </c>
      <c r="D28" s="17">
        <v>11.29</v>
      </c>
      <c r="E28" s="42" t="s">
        <v>392</v>
      </c>
      <c r="F28" s="4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2"/>
      <c r="B29" s="16" t="s">
        <v>303</v>
      </c>
      <c r="C29" s="62">
        <v>45517.0</v>
      </c>
      <c r="D29" s="17">
        <v>36.11</v>
      </c>
      <c r="E29" s="42" t="s">
        <v>101</v>
      </c>
      <c r="F29" s="4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2"/>
      <c r="B30" s="12" t="s">
        <v>331</v>
      </c>
      <c r="C30" s="62">
        <v>45515.0</v>
      </c>
      <c r="D30" s="17">
        <v>159.05</v>
      </c>
      <c r="E30" s="42" t="s">
        <v>95</v>
      </c>
      <c r="F30" s="4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2"/>
      <c r="B31" s="12" t="s">
        <v>371</v>
      </c>
      <c r="C31" s="62">
        <v>45515.0</v>
      </c>
      <c r="D31" s="17">
        <v>62.65</v>
      </c>
      <c r="E31" s="42" t="s">
        <v>93</v>
      </c>
      <c r="F31" s="4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2"/>
      <c r="B32" s="12" t="s">
        <v>305</v>
      </c>
      <c r="C32" s="62">
        <v>45514.0</v>
      </c>
      <c r="D32" s="17">
        <v>6.77</v>
      </c>
      <c r="E32" s="42" t="s">
        <v>392</v>
      </c>
      <c r="F32" s="4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2"/>
      <c r="B33" s="12" t="s">
        <v>294</v>
      </c>
      <c r="C33" s="62">
        <v>45514.0</v>
      </c>
      <c r="D33" s="17">
        <v>4.51</v>
      </c>
      <c r="E33" s="42" t="s">
        <v>392</v>
      </c>
      <c r="F33" s="4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2"/>
      <c r="B34" s="12" t="s">
        <v>294</v>
      </c>
      <c r="C34" s="62">
        <v>45514.0</v>
      </c>
      <c r="D34" s="17">
        <v>4.51</v>
      </c>
      <c r="E34" s="42" t="s">
        <v>392</v>
      </c>
      <c r="F34" s="4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2"/>
      <c r="B35" s="12" t="s">
        <v>400</v>
      </c>
      <c r="C35" s="63">
        <v>45513.0</v>
      </c>
      <c r="D35" s="17">
        <v>7.33</v>
      </c>
      <c r="E35" s="42" t="s">
        <v>105</v>
      </c>
      <c r="F35" s="4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2"/>
      <c r="B36" s="12" t="s">
        <v>400</v>
      </c>
      <c r="C36" s="63">
        <v>45513.0</v>
      </c>
      <c r="D36" s="17">
        <v>30.82</v>
      </c>
      <c r="E36" s="42" t="s">
        <v>105</v>
      </c>
      <c r="F36" s="4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2"/>
      <c r="B37" s="12" t="s">
        <v>256</v>
      </c>
      <c r="C37" s="63">
        <v>45513.0</v>
      </c>
      <c r="D37" s="17">
        <v>7.0</v>
      </c>
      <c r="E37" s="42" t="s">
        <v>103</v>
      </c>
      <c r="F37" s="4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2"/>
      <c r="B38" s="12" t="s">
        <v>168</v>
      </c>
      <c r="C38" s="63">
        <v>45512.0</v>
      </c>
      <c r="D38" s="17">
        <v>50.0</v>
      </c>
      <c r="E38" s="42" t="s">
        <v>85</v>
      </c>
      <c r="F38" s="4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2"/>
      <c r="B39" s="12" t="s">
        <v>256</v>
      </c>
      <c r="C39" s="63">
        <v>45512.0</v>
      </c>
      <c r="D39" s="17">
        <v>22.6</v>
      </c>
      <c r="E39" s="42" t="s">
        <v>103</v>
      </c>
      <c r="F39" s="4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2"/>
      <c r="B40" s="12" t="s">
        <v>368</v>
      </c>
      <c r="C40" s="63">
        <v>45512.0</v>
      </c>
      <c r="D40" s="17">
        <v>56.49</v>
      </c>
      <c r="E40" s="42" t="s">
        <v>392</v>
      </c>
      <c r="F40" s="4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2"/>
      <c r="B41" s="12" t="s">
        <v>401</v>
      </c>
      <c r="C41" s="63">
        <v>45512.0</v>
      </c>
      <c r="D41" s="17">
        <v>20.17</v>
      </c>
      <c r="E41" s="42" t="s">
        <v>392</v>
      </c>
      <c r="F41" s="4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2"/>
      <c r="B42" s="12" t="s">
        <v>402</v>
      </c>
      <c r="C42" s="63">
        <v>45511.0</v>
      </c>
      <c r="D42" s="17">
        <v>-2102.93</v>
      </c>
      <c r="E42" s="42" t="s">
        <v>156</v>
      </c>
      <c r="F42" s="4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2"/>
      <c r="B43" s="12" t="s">
        <v>305</v>
      </c>
      <c r="C43" s="63">
        <v>45511.0</v>
      </c>
      <c r="D43" s="17">
        <v>10.16</v>
      </c>
      <c r="E43" s="42" t="s">
        <v>392</v>
      </c>
      <c r="F43" s="4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2"/>
      <c r="B44" s="12" t="s">
        <v>295</v>
      </c>
      <c r="C44" s="63">
        <v>45511.0</v>
      </c>
      <c r="D44" s="17">
        <v>101.69</v>
      </c>
      <c r="E44" s="42" t="s">
        <v>103</v>
      </c>
      <c r="F44" s="4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2"/>
      <c r="B45" s="12" t="s">
        <v>402</v>
      </c>
      <c r="C45" s="63">
        <v>45510.0</v>
      </c>
      <c r="D45" s="17">
        <v>2102.93</v>
      </c>
      <c r="E45" s="42" t="s">
        <v>156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2"/>
      <c r="B46" s="12" t="s">
        <v>403</v>
      </c>
      <c r="C46" s="63">
        <v>45510.0</v>
      </c>
      <c r="D46" s="17">
        <v>1342.05</v>
      </c>
      <c r="E46" s="42" t="s">
        <v>156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2"/>
      <c r="B47" s="12" t="s">
        <v>404</v>
      </c>
      <c r="C47" s="63">
        <v>45510.0</v>
      </c>
      <c r="D47" s="17">
        <v>64.39</v>
      </c>
      <c r="E47" s="42" t="s">
        <v>98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2"/>
      <c r="B48" s="12" t="s">
        <v>365</v>
      </c>
      <c r="C48" s="63">
        <v>45510.0</v>
      </c>
      <c r="D48" s="17">
        <v>62.28</v>
      </c>
      <c r="E48" s="42" t="s">
        <v>105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2"/>
      <c r="B49" s="12" t="s">
        <v>256</v>
      </c>
      <c r="C49" s="63">
        <v>45509.0</v>
      </c>
      <c r="D49" s="17">
        <v>5.65</v>
      </c>
      <c r="E49" s="42" t="s">
        <v>103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2"/>
      <c r="B50" s="12" t="s">
        <v>405</v>
      </c>
      <c r="C50" s="63">
        <v>45509.0</v>
      </c>
      <c r="D50" s="17">
        <v>14.77</v>
      </c>
      <c r="E50" s="42" t="s">
        <v>87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2"/>
      <c r="B51" s="12" t="s">
        <v>406</v>
      </c>
      <c r="C51" s="63">
        <v>45509.0</v>
      </c>
      <c r="D51" s="17">
        <v>17.41</v>
      </c>
      <c r="E51" s="42" t="s">
        <v>105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2"/>
      <c r="B52" s="12" t="s">
        <v>280</v>
      </c>
      <c r="C52" s="63">
        <v>45509.0</v>
      </c>
      <c r="D52" s="17">
        <v>35.01</v>
      </c>
      <c r="E52" s="42" t="s">
        <v>93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2"/>
      <c r="B53" s="12" t="s">
        <v>407</v>
      </c>
      <c r="C53" s="63">
        <v>45507.0</v>
      </c>
      <c r="D53" s="17">
        <v>35.02</v>
      </c>
      <c r="E53" s="42" t="s">
        <v>105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2"/>
      <c r="B54" s="12" t="s">
        <v>395</v>
      </c>
      <c r="C54" s="63">
        <v>45507.0</v>
      </c>
      <c r="D54" s="17">
        <v>253.03</v>
      </c>
      <c r="E54" s="42" t="s">
        <v>98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2"/>
      <c r="B55" s="12" t="s">
        <v>408</v>
      </c>
      <c r="C55" s="63">
        <v>45507.0</v>
      </c>
      <c r="D55" s="17">
        <v>-35.0</v>
      </c>
      <c r="E55" s="42" t="s">
        <v>86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2"/>
      <c r="B56" s="12" t="s">
        <v>310</v>
      </c>
      <c r="C56" s="63">
        <v>45507.0</v>
      </c>
      <c r="D56" s="17">
        <v>107.8</v>
      </c>
      <c r="E56" s="42" t="s">
        <v>82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2"/>
      <c r="B57" s="12" t="s">
        <v>370</v>
      </c>
      <c r="C57" s="63">
        <v>45507.0</v>
      </c>
      <c r="D57" s="17">
        <v>132.93</v>
      </c>
      <c r="E57" s="42" t="s">
        <v>103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2"/>
      <c r="B58" s="12" t="s">
        <v>328</v>
      </c>
      <c r="C58" s="63">
        <v>45507.0</v>
      </c>
      <c r="D58" s="17">
        <v>90.39</v>
      </c>
      <c r="E58" s="42" t="s">
        <v>99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2"/>
      <c r="B59" s="12" t="s">
        <v>409</v>
      </c>
      <c r="C59" s="63">
        <v>45506.0</v>
      </c>
      <c r="D59" s="17">
        <v>15.15</v>
      </c>
      <c r="E59" s="42" t="s">
        <v>89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2"/>
      <c r="B60" s="12" t="s">
        <v>409</v>
      </c>
      <c r="C60" s="63">
        <v>45506.0</v>
      </c>
      <c r="D60" s="17">
        <v>143.68</v>
      </c>
      <c r="E60" s="42" t="s">
        <v>89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2"/>
      <c r="B61" s="12" t="s">
        <v>398</v>
      </c>
      <c r="C61" s="63">
        <v>45506.0</v>
      </c>
      <c r="D61" s="17">
        <v>1021.52</v>
      </c>
      <c r="E61" s="42" t="s">
        <v>98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1"/>
      <c r="B62" s="12" t="s">
        <v>406</v>
      </c>
      <c r="C62" s="63">
        <v>45506.0</v>
      </c>
      <c r="D62" s="17">
        <v>123.26</v>
      </c>
      <c r="E62" s="42" t="s">
        <v>107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2"/>
      <c r="B63" s="12" t="s">
        <v>365</v>
      </c>
      <c r="C63" s="63">
        <v>45506.0</v>
      </c>
      <c r="D63" s="17">
        <v>3.22</v>
      </c>
      <c r="E63" s="42" t="s">
        <v>105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2"/>
      <c r="B64" s="12" t="s">
        <v>365</v>
      </c>
      <c r="C64" s="63">
        <v>45506.0</v>
      </c>
      <c r="D64" s="17">
        <v>5.23</v>
      </c>
      <c r="E64" s="42" t="s">
        <v>105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2"/>
      <c r="B65" s="12" t="s">
        <v>410</v>
      </c>
      <c r="C65" s="63">
        <v>45505.0</v>
      </c>
      <c r="D65" s="17">
        <v>71.19</v>
      </c>
      <c r="E65" s="42" t="s">
        <v>98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2"/>
      <c r="B66" s="12" t="s">
        <v>305</v>
      </c>
      <c r="C66" s="62">
        <v>45504.0</v>
      </c>
      <c r="D66" s="17">
        <v>5.64</v>
      </c>
      <c r="E66" s="42" t="s">
        <v>392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2"/>
      <c r="B67" s="12" t="s">
        <v>310</v>
      </c>
      <c r="C67" s="62">
        <v>45504.0</v>
      </c>
      <c r="D67" s="17">
        <v>94.4</v>
      </c>
      <c r="E67" s="42" t="s">
        <v>82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 t="s">
        <v>411</v>
      </c>
      <c r="C68" s="62">
        <v>45504.0</v>
      </c>
      <c r="D68" s="17">
        <v>694.94</v>
      </c>
      <c r="E68" s="42" t="s">
        <v>98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 t="s">
        <v>305</v>
      </c>
      <c r="C69" s="62">
        <v>45503.0</v>
      </c>
      <c r="D69" s="17">
        <v>24.85</v>
      </c>
      <c r="E69" s="42" t="s">
        <v>392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 t="s">
        <v>324</v>
      </c>
      <c r="C70" s="62">
        <v>45503.0</v>
      </c>
      <c r="D70" s="17">
        <v>73.74</v>
      </c>
      <c r="E70" s="42" t="s">
        <v>95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 t="s">
        <v>152</v>
      </c>
      <c r="C71" s="62">
        <v>45503.0</v>
      </c>
      <c r="D71" s="17">
        <v>-3408.98</v>
      </c>
      <c r="E71" s="42" t="s">
        <v>153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 t="s">
        <v>256</v>
      </c>
      <c r="C72" s="62">
        <v>45502.0</v>
      </c>
      <c r="D72" s="17">
        <v>3.39</v>
      </c>
      <c r="E72" s="42" t="s">
        <v>103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 t="s">
        <v>398</v>
      </c>
      <c r="C73" s="62">
        <v>45502.0</v>
      </c>
      <c r="D73" s="17">
        <v>816.98</v>
      </c>
      <c r="E73" s="42" t="s">
        <v>98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 t="s">
        <v>365</v>
      </c>
      <c r="C74" s="62">
        <v>45502.0</v>
      </c>
      <c r="D74" s="17">
        <v>41.39</v>
      </c>
      <c r="E74" s="42" t="s">
        <v>105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 t="s">
        <v>393</v>
      </c>
      <c r="C75" s="62">
        <v>45501.0</v>
      </c>
      <c r="D75" s="17">
        <v>55.91</v>
      </c>
      <c r="E75" s="42" t="s">
        <v>90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 t="s">
        <v>305</v>
      </c>
      <c r="C76" s="62">
        <v>45500.0</v>
      </c>
      <c r="D76" s="17">
        <v>7.9</v>
      </c>
      <c r="E76" s="42" t="s">
        <v>392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 t="s">
        <v>305</v>
      </c>
      <c r="C77" s="62">
        <v>45500.0</v>
      </c>
      <c r="D77" s="17">
        <v>14.68</v>
      </c>
      <c r="E77" s="42" t="s">
        <v>392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 t="s">
        <v>412</v>
      </c>
      <c r="C78" s="62">
        <v>45500.0</v>
      </c>
      <c r="D78" s="17">
        <v>213.11</v>
      </c>
      <c r="E78" s="42" t="s">
        <v>103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 t="s">
        <v>413</v>
      </c>
      <c r="C79" s="62">
        <v>45500.0</v>
      </c>
      <c r="D79" s="17">
        <v>67.29</v>
      </c>
      <c r="E79" s="42" t="s">
        <v>93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 t="s">
        <v>414</v>
      </c>
      <c r="C80" s="62">
        <v>45499.0</v>
      </c>
      <c r="D80" s="17">
        <v>3.0</v>
      </c>
      <c r="E80" s="42" t="s">
        <v>102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 t="s">
        <v>335</v>
      </c>
      <c r="C81" s="62">
        <v>45498.0</v>
      </c>
      <c r="D81" s="17">
        <v>127.7</v>
      </c>
      <c r="E81" s="42" t="s">
        <v>100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 t="s">
        <v>415</v>
      </c>
      <c r="C82" s="62">
        <v>45495.0</v>
      </c>
      <c r="D82" s="17">
        <v>12.49</v>
      </c>
      <c r="E82" s="42" t="s">
        <v>105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</sheetData>
  <mergeCells count="3">
    <mergeCell ref="A1:B1"/>
    <mergeCell ref="C1:D1"/>
    <mergeCell ref="E1:F1"/>
  </mergeCells>
  <dataValidations>
    <dataValidation type="list" allowBlank="1" sqref="E7:E9 E12:E16 E18 E30:E31 E37 E39 E44 E47:E65 E67:E68 E70:E75 E78:E82">
      <formula1>"PAYMENT,DINE IN,TAKEOUT,DELIVERY,COFFEE,GROCERIES,INTERNET,MOBILE,PRIME VIDEO,HEALTH,CANNABIS,ALCOHOL,GAS,PARKING,NEWSPAPER,CLOTHES,TECHNOLOGY,FURNITURE,CHARITY,ENTERTAINMENT,CATS,HOTELS,TRANSPORTATION,HOUSEHOLD,GIFTS,FLIGHTS,PARAMOUNT,CC FEES,SPOTIFY,PET"&amp;"S"</formula1>
    </dataValidation>
    <dataValidation type="list" allowBlank="1" sqref="E10:E11 E17 E23 E26:E29 E32:E36 E38 E40:E43 E45:E46 E66 E69 E76:E77">
      <formula1>"OTHER/NONE,PAYMENT,DINE IN,TAKEOUT,DELIVERY,COFFEE,GROCERIES,INTERNET,MOBILE,SUBSCRIPTION SERVICES,BENEFITS,CANNABIS,ALCOHOL,GAS,PARKING,NEWSPAPER,CLOTHES,TECHNOLOGY,FURNITURE,CHARITY,ENTERTAINMENT,CATS,HOTELS,TRANSPORTATION"</formula1>
    </dataValidation>
    <dataValidation type="list" allowBlank="1" sqref="E19:E22 E24:E25">
      <formula1>"PAYMENT,DINE IN,TAKEOUT,DELIVERY,COFFEE,GROCERIES,INTERNET,MOBILE,PRIME VIDEO,HEALTH,CANNABIS,ALCOHOL,GAS,PARKING,NEWSPAPER,CLOTHES,TECHNOLOGY,FURNITURE,CHARITY,ENTERTAINMENT,CATS,HOTELS,TRANSPORTATION,HOUSEHOLD,GIFTS,FLIGHTS,PARAMOUNT"</formula1>
    </dataValidation>
  </dataValidation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3"/>
      <c r="B1" s="10" t="s">
        <v>416</v>
      </c>
    </row>
    <row r="2">
      <c r="A2" s="3"/>
      <c r="B2" s="47"/>
      <c r="D2" s="47"/>
    </row>
    <row r="3">
      <c r="A3" s="3" t="s">
        <v>109</v>
      </c>
      <c r="B3" s="47"/>
      <c r="D3" s="47"/>
    </row>
    <row r="4">
      <c r="A4" s="10" t="s">
        <v>110</v>
      </c>
      <c r="B4" s="13">
        <v>0.0</v>
      </c>
      <c r="C4" s="48"/>
    </row>
    <row r="5">
      <c r="A5" s="10" t="s">
        <v>17</v>
      </c>
      <c r="B5" s="13">
        <f>3112.28*2</f>
        <v>6224.56</v>
      </c>
      <c r="C5" s="48">
        <f>B5/B7</f>
        <v>0.6049546616</v>
      </c>
    </row>
    <row r="6">
      <c r="A6" s="10" t="s">
        <v>23</v>
      </c>
      <c r="B6" s="28">
        <f>2032.37*2</f>
        <v>4064.74</v>
      </c>
      <c r="C6" s="48">
        <f>B6/B7</f>
        <v>0.3950453384</v>
      </c>
    </row>
    <row r="7">
      <c r="A7" s="10" t="s">
        <v>111</v>
      </c>
      <c r="B7" s="14">
        <f>SUM(B5:B6)</f>
        <v>10289.3</v>
      </c>
    </row>
    <row r="9">
      <c r="A9" s="3" t="s">
        <v>112</v>
      </c>
      <c r="C9" s="10" t="s">
        <v>17</v>
      </c>
      <c r="D9" s="10" t="s">
        <v>23</v>
      </c>
    </row>
    <row r="10">
      <c r="A10" s="10" t="s">
        <v>113</v>
      </c>
      <c r="B10" s="13">
        <v>1711.29</v>
      </c>
      <c r="C10" s="14">
        <f>B10*C5</f>
        <v>1035.252863</v>
      </c>
      <c r="D10" s="14">
        <f>B10*C6</f>
        <v>676.0371371</v>
      </c>
    </row>
    <row r="11">
      <c r="A11" s="10" t="s">
        <v>417</v>
      </c>
      <c r="B11" s="13">
        <v>116.14</v>
      </c>
      <c r="C11" s="14">
        <f>B11*C5</f>
        <v>70.2594344</v>
      </c>
      <c r="D11" s="14">
        <f>B11*C6</f>
        <v>45.8805656</v>
      </c>
    </row>
    <row r="12">
      <c r="A12" s="10" t="s">
        <v>115</v>
      </c>
      <c r="B12" s="13">
        <f>154.29</f>
        <v>154.29</v>
      </c>
      <c r="C12" s="14">
        <f>B12*C5</f>
        <v>93.33845474</v>
      </c>
      <c r="D12" s="14">
        <f>B12*C6</f>
        <v>60.95154526</v>
      </c>
    </row>
    <row r="13">
      <c r="A13" s="10" t="s">
        <v>116</v>
      </c>
      <c r="B13" s="13">
        <f>93.51</f>
        <v>93.51</v>
      </c>
      <c r="C13" s="14">
        <f>B13*C5</f>
        <v>56.56931041</v>
      </c>
      <c r="D13" s="14">
        <f>B13*C6</f>
        <v>36.94068959</v>
      </c>
    </row>
    <row r="14">
      <c r="A14" s="10" t="s">
        <v>117</v>
      </c>
      <c r="B14" s="13">
        <v>138.83</v>
      </c>
      <c r="C14" s="14">
        <f>B14*C5</f>
        <v>83.98585568</v>
      </c>
      <c r="D14" s="14">
        <f>B14*C6</f>
        <v>54.84414432</v>
      </c>
    </row>
    <row r="15">
      <c r="A15" s="10" t="s">
        <v>118</v>
      </c>
      <c r="B15" s="13">
        <v>134.48</v>
      </c>
      <c r="C15" s="14">
        <f>B15*C5</f>
        <v>81.3543029</v>
      </c>
      <c r="D15" s="14">
        <f>B15*C6</f>
        <v>53.1256971</v>
      </c>
    </row>
    <row r="16">
      <c r="A16" s="10" t="s">
        <v>119</v>
      </c>
      <c r="B16" s="58">
        <f>39.2</f>
        <v>39.2</v>
      </c>
      <c r="C16" s="14">
        <f>B16*C5</f>
        <v>23.71422274</v>
      </c>
      <c r="D16" s="14">
        <f>B16*C6</f>
        <v>15.48577726</v>
      </c>
    </row>
    <row r="17">
      <c r="A17" s="10" t="s">
        <v>120</v>
      </c>
      <c r="B17" s="59">
        <v>215.03</v>
      </c>
      <c r="C17" s="14">
        <f>B17*C5</f>
        <v>130.0834009</v>
      </c>
      <c r="D17" s="14">
        <f>B17*C6</f>
        <v>84.94659911</v>
      </c>
    </row>
    <row r="18">
      <c r="B18" s="14"/>
      <c r="C18" s="14"/>
      <c r="D18" s="14"/>
    </row>
    <row r="19">
      <c r="A19" s="3" t="s">
        <v>122</v>
      </c>
      <c r="B19" s="13"/>
      <c r="C19" s="13"/>
      <c r="D19" s="14"/>
    </row>
    <row r="20">
      <c r="B20" s="14">
        <f>B7*0.25</f>
        <v>2572.325</v>
      </c>
      <c r="C20" s="14">
        <f>B20*C5</f>
        <v>1556.14</v>
      </c>
      <c r="D20" s="14">
        <f>B20*C6</f>
        <v>1016.185</v>
      </c>
    </row>
    <row r="21">
      <c r="A21" s="10"/>
    </row>
    <row r="22">
      <c r="A22" s="10" t="s">
        <v>124</v>
      </c>
      <c r="B22" s="14">
        <f t="shared" ref="B22:D22" si="1">SUM(B10:B20)</f>
        <v>5175.095</v>
      </c>
      <c r="C22" s="14">
        <f t="shared" si="1"/>
        <v>3130.697845</v>
      </c>
      <c r="D22" s="14">
        <f t="shared" si="1"/>
        <v>2044.397155</v>
      </c>
    </row>
    <row r="23">
      <c r="A23" s="10"/>
    </row>
    <row r="24">
      <c r="A24" s="10" t="s">
        <v>125</v>
      </c>
      <c r="C24" s="14">
        <f>B5-C22</f>
        <v>3093.862155</v>
      </c>
      <c r="D24" s="14">
        <f>B6-D22</f>
        <v>2020.342845</v>
      </c>
    </row>
    <row r="25">
      <c r="A25" s="47">
        <v>45184.0</v>
      </c>
      <c r="C25" s="13">
        <f t="shared" ref="C25:D25" si="2">C24/2</f>
        <v>1546.931078</v>
      </c>
      <c r="D25" s="14">
        <f t="shared" si="2"/>
        <v>1010.171422</v>
      </c>
    </row>
    <row r="26">
      <c r="A26" s="47">
        <v>45199.0</v>
      </c>
      <c r="C26" s="13">
        <f t="shared" ref="C26:D26" si="3">C24/2</f>
        <v>1546.931078</v>
      </c>
      <c r="D26" s="13">
        <f t="shared" si="3"/>
        <v>1010.171422</v>
      </c>
    </row>
    <row r="29">
      <c r="A29" s="49"/>
      <c r="B29" s="49"/>
      <c r="C29" s="49"/>
      <c r="D29" s="49"/>
    </row>
    <row r="30">
      <c r="A30" s="3" t="s">
        <v>126</v>
      </c>
      <c r="C30" s="10" t="s">
        <v>128</v>
      </c>
    </row>
    <row r="31">
      <c r="A31" s="10" t="s">
        <v>130</v>
      </c>
      <c r="B31" s="13">
        <f>3286.78</f>
        <v>3286.78</v>
      </c>
      <c r="C31" s="10" t="s">
        <v>132</v>
      </c>
    </row>
    <row r="32">
      <c r="A32" s="10" t="s">
        <v>131</v>
      </c>
      <c r="B32" s="13">
        <f>1691.15</f>
        <v>1691.15</v>
      </c>
      <c r="C32" s="10" t="s">
        <v>132</v>
      </c>
    </row>
    <row r="33">
      <c r="A33" s="10" t="s">
        <v>418</v>
      </c>
      <c r="B33" s="72">
        <f>1000</f>
        <v>1000</v>
      </c>
      <c r="C33" s="10" t="s">
        <v>132</v>
      </c>
    </row>
    <row r="34">
      <c r="A34" s="10"/>
      <c r="B34" s="14">
        <f>B31+B32+B33</f>
        <v>5977.93</v>
      </c>
    </row>
    <row r="35">
      <c r="A35" s="67" t="s">
        <v>352</v>
      </c>
      <c r="B35" s="51" t="s">
        <v>353</v>
      </c>
      <c r="C35" s="68">
        <v>0.6</v>
      </c>
      <c r="D35" s="68">
        <v>0.4</v>
      </c>
    </row>
    <row r="36">
      <c r="A36" s="10" t="s">
        <v>354</v>
      </c>
      <c r="B36" s="13"/>
      <c r="C36" s="14"/>
      <c r="D36" s="14"/>
    </row>
    <row r="37">
      <c r="A37" s="10" t="s">
        <v>355</v>
      </c>
      <c r="B37" s="69"/>
    </row>
    <row r="39">
      <c r="A39" s="51"/>
      <c r="B39" s="51"/>
      <c r="C39" s="51"/>
    </row>
    <row r="40">
      <c r="B40" s="14"/>
      <c r="C40" s="14"/>
      <c r="D40" s="14"/>
      <c r="E40" s="14"/>
      <c r="F40" s="14"/>
    </row>
    <row r="41">
      <c r="A41" s="10"/>
    </row>
    <row r="42">
      <c r="A42" s="1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9.5"/>
    <col customWidth="1" min="4" max="4" width="9.5"/>
    <col customWidth="1" min="5" max="5" width="17.5"/>
    <col customWidth="1" min="7" max="7" width="22.38"/>
    <col customWidth="1" min="9" max="9" width="11.25"/>
    <col customWidth="1" min="10" max="10" width="18.63"/>
  </cols>
  <sheetData>
    <row r="1">
      <c r="A1" s="35" t="s">
        <v>134</v>
      </c>
      <c r="E1" s="35" t="s">
        <v>135</v>
      </c>
      <c r="G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6" t="s">
        <v>136</v>
      </c>
      <c r="B2" s="37">
        <v>45162.0</v>
      </c>
      <c r="C2" s="36"/>
      <c r="D2" s="18"/>
      <c r="E2" s="36" t="s">
        <v>136</v>
      </c>
      <c r="F2" s="18"/>
      <c r="G2" s="37">
        <v>45162.0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36" t="s">
        <v>137</v>
      </c>
      <c r="B3" s="26"/>
      <c r="C3" s="36"/>
      <c r="D3" s="18"/>
      <c r="E3" s="36" t="s">
        <v>137</v>
      </c>
      <c r="F3" s="18"/>
      <c r="G3" s="2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36" t="s">
        <v>138</v>
      </c>
      <c r="B4" s="39">
        <v>45184.0</v>
      </c>
      <c r="C4" s="36"/>
      <c r="D4" s="18"/>
      <c r="E4" s="36" t="s">
        <v>138</v>
      </c>
      <c r="F4" s="18"/>
      <c r="G4" s="39">
        <v>45186.0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2"/>
      <c r="C5" s="18"/>
      <c r="D5" s="1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2" t="s">
        <v>139</v>
      </c>
      <c r="C6" s="19" t="s">
        <v>140</v>
      </c>
      <c r="D6" s="18" t="s">
        <v>141</v>
      </c>
      <c r="E6" s="12" t="s">
        <v>67</v>
      </c>
      <c r="F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2"/>
      <c r="B7" s="16" t="s">
        <v>292</v>
      </c>
      <c r="C7" s="62">
        <v>45559.0</v>
      </c>
      <c r="D7" s="17">
        <v>16.94</v>
      </c>
      <c r="E7" s="42" t="s">
        <v>390</v>
      </c>
      <c r="F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2"/>
      <c r="B8" s="16" t="s">
        <v>256</v>
      </c>
      <c r="C8" s="62">
        <v>45558.0</v>
      </c>
      <c r="D8" s="17">
        <v>11.3</v>
      </c>
      <c r="E8" s="42" t="s">
        <v>103</v>
      </c>
      <c r="F8" s="4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2"/>
      <c r="B9" s="16" t="s">
        <v>256</v>
      </c>
      <c r="C9" s="62">
        <v>45558.0</v>
      </c>
      <c r="D9" s="17">
        <v>145.77</v>
      </c>
      <c r="E9" s="42" t="s">
        <v>103</v>
      </c>
      <c r="F9" s="43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2"/>
      <c r="B10" s="16" t="s">
        <v>419</v>
      </c>
      <c r="C10" s="62">
        <v>45558.0</v>
      </c>
      <c r="D10" s="17">
        <v>186.94</v>
      </c>
      <c r="E10" s="42" t="s">
        <v>107</v>
      </c>
      <c r="F10" s="4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2"/>
      <c r="B11" s="16" t="s">
        <v>294</v>
      </c>
      <c r="C11" s="62">
        <v>45557.0</v>
      </c>
      <c r="D11" s="17">
        <v>18.07</v>
      </c>
      <c r="E11" s="42" t="s">
        <v>106</v>
      </c>
      <c r="F11" s="4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2"/>
      <c r="B12" s="16" t="s">
        <v>420</v>
      </c>
      <c r="C12" s="62">
        <v>45557.0</v>
      </c>
      <c r="D12" s="17">
        <v>60.0</v>
      </c>
      <c r="E12" s="42" t="s">
        <v>105</v>
      </c>
      <c r="F12" s="4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2"/>
      <c r="B13" s="16" t="s">
        <v>421</v>
      </c>
      <c r="C13" s="62">
        <v>45557.0</v>
      </c>
      <c r="D13" s="17">
        <v>5.27</v>
      </c>
      <c r="E13" s="42" t="s">
        <v>105</v>
      </c>
      <c r="F13" s="43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2"/>
      <c r="B14" s="16" t="s">
        <v>422</v>
      </c>
      <c r="C14" s="62">
        <v>45557.0</v>
      </c>
      <c r="D14" s="17">
        <v>17.05</v>
      </c>
      <c r="E14" s="42" t="s">
        <v>93</v>
      </c>
      <c r="F14" s="4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2"/>
      <c r="B15" s="16" t="s">
        <v>423</v>
      </c>
      <c r="C15" s="62">
        <v>45557.0</v>
      </c>
      <c r="D15" s="17">
        <v>67.05</v>
      </c>
      <c r="E15" s="42" t="s">
        <v>93</v>
      </c>
      <c r="F15" s="4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2"/>
      <c r="B16" s="16" t="s">
        <v>424</v>
      </c>
      <c r="C16" s="62">
        <v>45556.0</v>
      </c>
      <c r="D16" s="17">
        <v>12.75</v>
      </c>
      <c r="E16" s="42" t="s">
        <v>105</v>
      </c>
      <c r="F16" s="4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2"/>
      <c r="B17" s="16" t="s">
        <v>425</v>
      </c>
      <c r="C17" s="62">
        <v>45556.0</v>
      </c>
      <c r="D17" s="17">
        <v>18.6</v>
      </c>
      <c r="E17" s="42" t="s">
        <v>105</v>
      </c>
      <c r="F17" s="4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2"/>
      <c r="B18" s="12" t="s">
        <v>426</v>
      </c>
      <c r="C18" s="62">
        <v>45556.0</v>
      </c>
      <c r="D18" s="17">
        <v>60.71</v>
      </c>
      <c r="E18" s="42" t="s">
        <v>105</v>
      </c>
      <c r="F18" s="4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2"/>
      <c r="B19" s="12" t="s">
        <v>427</v>
      </c>
      <c r="C19" s="62">
        <v>45556.0</v>
      </c>
      <c r="D19" s="17">
        <v>35.82</v>
      </c>
      <c r="E19" s="42" t="s">
        <v>89</v>
      </c>
      <c r="F19" s="4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2"/>
      <c r="B20" s="12" t="s">
        <v>365</v>
      </c>
      <c r="C20" s="62">
        <v>45556.0</v>
      </c>
      <c r="D20" s="17">
        <v>71.54</v>
      </c>
      <c r="E20" s="42" t="s">
        <v>105</v>
      </c>
      <c r="F20" s="4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2"/>
      <c r="B21" s="12" t="s">
        <v>428</v>
      </c>
      <c r="C21" s="62">
        <v>45556.0</v>
      </c>
      <c r="D21" s="17">
        <v>3.0</v>
      </c>
      <c r="E21" s="42" t="s">
        <v>107</v>
      </c>
      <c r="F21" s="4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2"/>
      <c r="B22" s="12" t="s">
        <v>428</v>
      </c>
      <c r="C22" s="62">
        <v>45556.0</v>
      </c>
      <c r="D22" s="17">
        <v>11.17</v>
      </c>
      <c r="E22" s="42" t="s">
        <v>107</v>
      </c>
      <c r="F22" s="4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2"/>
      <c r="B23" s="12" t="s">
        <v>424</v>
      </c>
      <c r="C23" s="62">
        <v>45555.0</v>
      </c>
      <c r="D23" s="17">
        <v>12.75</v>
      </c>
      <c r="E23" s="42" t="s">
        <v>105</v>
      </c>
      <c r="F23" s="4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2"/>
      <c r="B24" s="12" t="s">
        <v>429</v>
      </c>
      <c r="C24" s="62">
        <v>45555.0</v>
      </c>
      <c r="D24" s="17">
        <v>239.4</v>
      </c>
      <c r="E24" s="42" t="s">
        <v>82</v>
      </c>
      <c r="F24" s="4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2"/>
      <c r="B25" s="12" t="s">
        <v>430</v>
      </c>
      <c r="C25" s="62">
        <v>45555.0</v>
      </c>
      <c r="D25" s="17">
        <v>24.58</v>
      </c>
      <c r="E25" s="42" t="s">
        <v>105</v>
      </c>
      <c r="F25" s="4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2"/>
      <c r="B26" s="12" t="s">
        <v>431</v>
      </c>
      <c r="C26" s="62">
        <v>45554.0</v>
      </c>
      <c r="D26" s="17">
        <v>5.64</v>
      </c>
      <c r="E26" s="42" t="s">
        <v>96</v>
      </c>
      <c r="F26" s="43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2"/>
      <c r="B27" s="12" t="s">
        <v>299</v>
      </c>
      <c r="C27" s="62">
        <v>45554.0</v>
      </c>
      <c r="D27" s="17">
        <v>3.5</v>
      </c>
      <c r="E27" s="42" t="s">
        <v>107</v>
      </c>
      <c r="F27" s="4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2"/>
      <c r="B28" s="12" t="s">
        <v>412</v>
      </c>
      <c r="C28" s="62">
        <v>45553.0</v>
      </c>
      <c r="D28" s="17">
        <v>35.02</v>
      </c>
      <c r="E28" s="42" t="s">
        <v>103</v>
      </c>
      <c r="F28" s="4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2"/>
      <c r="B29" s="12" t="s">
        <v>405</v>
      </c>
      <c r="C29" s="62">
        <v>45553.0</v>
      </c>
      <c r="D29" s="17">
        <v>20.25</v>
      </c>
      <c r="E29" s="42" t="s">
        <v>87</v>
      </c>
      <c r="F29" s="4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2"/>
      <c r="B30" s="12" t="s">
        <v>432</v>
      </c>
      <c r="C30" s="62">
        <v>45553.0</v>
      </c>
      <c r="D30" s="17">
        <v>36.11</v>
      </c>
      <c r="E30" s="42" t="s">
        <v>101</v>
      </c>
      <c r="F30" s="4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2"/>
      <c r="B31" s="12" t="s">
        <v>305</v>
      </c>
      <c r="C31" s="62">
        <v>45551.0</v>
      </c>
      <c r="D31" s="17">
        <v>6.22</v>
      </c>
      <c r="E31" s="42" t="s">
        <v>106</v>
      </c>
      <c r="F31" s="4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2"/>
      <c r="B32" s="12" t="s">
        <v>256</v>
      </c>
      <c r="C32" s="62">
        <v>45551.0</v>
      </c>
      <c r="D32" s="17">
        <v>145.77</v>
      </c>
      <c r="E32" s="42" t="s">
        <v>103</v>
      </c>
      <c r="F32" s="4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2"/>
      <c r="B33" s="12" t="s">
        <v>295</v>
      </c>
      <c r="C33" s="62">
        <v>45551.0</v>
      </c>
      <c r="D33" s="17">
        <v>59.97</v>
      </c>
      <c r="E33" s="42" t="s">
        <v>103</v>
      </c>
      <c r="F33" s="4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2"/>
      <c r="B34" s="12" t="s">
        <v>305</v>
      </c>
      <c r="C34" s="62">
        <v>45550.0</v>
      </c>
      <c r="D34" s="17">
        <v>4.51</v>
      </c>
      <c r="E34" s="42" t="s">
        <v>106</v>
      </c>
      <c r="F34" s="4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2"/>
      <c r="B35" s="12" t="s">
        <v>381</v>
      </c>
      <c r="C35" s="62">
        <v>45550.0</v>
      </c>
      <c r="D35" s="17">
        <v>159.6</v>
      </c>
      <c r="E35" s="42" t="s">
        <v>95</v>
      </c>
      <c r="F35" s="4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2"/>
      <c r="B36" s="12" t="s">
        <v>428</v>
      </c>
      <c r="C36" s="62">
        <v>45550.0</v>
      </c>
      <c r="D36" s="17">
        <v>3.0</v>
      </c>
      <c r="E36" s="42" t="s">
        <v>107</v>
      </c>
      <c r="F36" s="4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2"/>
      <c r="B37" s="16" t="s">
        <v>428</v>
      </c>
      <c r="C37" s="62">
        <v>45550.0</v>
      </c>
      <c r="D37" s="17">
        <v>3.0</v>
      </c>
      <c r="E37" s="42" t="s">
        <v>107</v>
      </c>
      <c r="F37" s="4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2"/>
      <c r="B38" s="12" t="s">
        <v>428</v>
      </c>
      <c r="C38" s="62">
        <v>45550.0</v>
      </c>
      <c r="D38" s="17">
        <v>19.39</v>
      </c>
      <c r="E38" s="42" t="s">
        <v>107</v>
      </c>
      <c r="F38" s="4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2"/>
      <c r="B39" s="12" t="s">
        <v>428</v>
      </c>
      <c r="C39" s="62">
        <v>45550.0</v>
      </c>
      <c r="D39" s="17">
        <v>19.81</v>
      </c>
      <c r="E39" s="42" t="s">
        <v>107</v>
      </c>
      <c r="F39" s="4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2"/>
      <c r="B40" s="12" t="s">
        <v>433</v>
      </c>
      <c r="C40" s="62">
        <v>45549.0</v>
      </c>
      <c r="D40" s="17">
        <v>22.43</v>
      </c>
      <c r="E40" s="42" t="s">
        <v>82</v>
      </c>
      <c r="F40" s="4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2"/>
      <c r="B41" s="12" t="s">
        <v>434</v>
      </c>
      <c r="C41" s="62">
        <v>45549.0</v>
      </c>
      <c r="D41" s="17">
        <v>12.83</v>
      </c>
      <c r="E41" s="42" t="s">
        <v>105</v>
      </c>
      <c r="F41" s="4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2"/>
      <c r="B42" s="12" t="s">
        <v>312</v>
      </c>
      <c r="C42" s="62">
        <v>45548.0</v>
      </c>
      <c r="D42" s="17">
        <v>11.29</v>
      </c>
      <c r="E42" s="42" t="s">
        <v>392</v>
      </c>
      <c r="F42" s="4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2"/>
      <c r="B43" s="12" t="s">
        <v>409</v>
      </c>
      <c r="C43" s="62">
        <v>45548.0</v>
      </c>
      <c r="D43" s="17">
        <v>142.06</v>
      </c>
      <c r="E43" s="42" t="s">
        <v>89</v>
      </c>
      <c r="F43" s="4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2"/>
      <c r="B44" s="12" t="s">
        <v>363</v>
      </c>
      <c r="C44" s="62">
        <v>45547.0</v>
      </c>
      <c r="D44" s="17">
        <v>-100.14</v>
      </c>
      <c r="E44" s="42" t="s">
        <v>107</v>
      </c>
      <c r="F44" s="4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2"/>
      <c r="B45" s="12" t="s">
        <v>256</v>
      </c>
      <c r="C45" s="62">
        <v>45546.0</v>
      </c>
      <c r="D45" s="17">
        <v>11.3</v>
      </c>
      <c r="E45" s="42" t="s">
        <v>103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2"/>
      <c r="B46" s="12" t="s">
        <v>266</v>
      </c>
      <c r="C46" s="62">
        <v>45546.0</v>
      </c>
      <c r="D46" s="17">
        <v>59.78</v>
      </c>
      <c r="E46" s="42" t="s">
        <v>105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2"/>
      <c r="B47" s="12" t="s">
        <v>294</v>
      </c>
      <c r="C47" s="62">
        <v>45545.0</v>
      </c>
      <c r="D47" s="17">
        <v>4.51</v>
      </c>
      <c r="E47" s="42" t="s">
        <v>105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2"/>
      <c r="B48" s="12" t="s">
        <v>294</v>
      </c>
      <c r="C48" s="62">
        <v>45545.0</v>
      </c>
      <c r="D48" s="17">
        <v>4.51</v>
      </c>
      <c r="E48" s="42" t="s">
        <v>85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2"/>
      <c r="B49" s="12" t="s">
        <v>435</v>
      </c>
      <c r="C49" s="62">
        <v>45545.0</v>
      </c>
      <c r="D49" s="17">
        <v>51.61</v>
      </c>
      <c r="E49" s="42" t="s">
        <v>87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2"/>
      <c r="B50" s="12" t="s">
        <v>324</v>
      </c>
      <c r="C50" s="62">
        <v>45545.0</v>
      </c>
      <c r="D50" s="17">
        <v>37.18</v>
      </c>
      <c r="E50" s="42" t="s">
        <v>105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2"/>
      <c r="B51" s="12" t="s">
        <v>436</v>
      </c>
      <c r="C51" s="62">
        <v>45545.0</v>
      </c>
      <c r="D51" s="17">
        <v>-753.71</v>
      </c>
      <c r="E51" s="42" t="s">
        <v>106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2"/>
      <c r="B52" s="12" t="s">
        <v>437</v>
      </c>
      <c r="C52" s="62">
        <v>45545.0</v>
      </c>
      <c r="D52" s="17">
        <v>105.09</v>
      </c>
      <c r="E52" s="42" t="s">
        <v>106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2"/>
      <c r="B53" s="12" t="s">
        <v>438</v>
      </c>
      <c r="C53" s="62">
        <v>45545.0</v>
      </c>
      <c r="D53" s="17">
        <v>753.71</v>
      </c>
      <c r="E53" s="42" t="s">
        <v>106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2"/>
      <c r="B54" s="12" t="s">
        <v>256</v>
      </c>
      <c r="C54" s="63">
        <v>45544.0</v>
      </c>
      <c r="D54" s="17">
        <v>145.77</v>
      </c>
      <c r="E54" s="42" t="s">
        <v>107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2"/>
      <c r="B55" s="12" t="s">
        <v>413</v>
      </c>
      <c r="C55" s="63">
        <v>45544.0</v>
      </c>
      <c r="D55" s="17">
        <v>50.88</v>
      </c>
      <c r="E55" s="42" t="s">
        <v>95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2"/>
      <c r="B56" s="12" t="s">
        <v>439</v>
      </c>
      <c r="C56" s="63">
        <v>45544.0</v>
      </c>
      <c r="D56" s="17">
        <v>16.2</v>
      </c>
      <c r="E56" s="42" t="s">
        <v>101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2"/>
      <c r="B57" s="12" t="s">
        <v>440</v>
      </c>
      <c r="C57" s="63">
        <v>45543.0</v>
      </c>
      <c r="D57" s="17">
        <v>51.97</v>
      </c>
      <c r="E57" s="42" t="s">
        <v>82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2"/>
      <c r="B58" s="12" t="s">
        <v>168</v>
      </c>
      <c r="C58" s="63">
        <v>45543.0</v>
      </c>
      <c r="D58" s="17">
        <v>50.0</v>
      </c>
      <c r="E58" s="42" t="s">
        <v>104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2"/>
      <c r="B59" s="12" t="s">
        <v>368</v>
      </c>
      <c r="C59" s="63">
        <v>45543.0</v>
      </c>
      <c r="D59" s="17">
        <v>55.55</v>
      </c>
      <c r="E59" s="42" t="s">
        <v>98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2"/>
      <c r="B60" s="12" t="s">
        <v>401</v>
      </c>
      <c r="C60" s="63">
        <v>45543.0</v>
      </c>
      <c r="D60" s="17">
        <v>20.17</v>
      </c>
      <c r="E60" s="42" t="s">
        <v>93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2"/>
      <c r="B61" s="12" t="s">
        <v>305</v>
      </c>
      <c r="C61" s="63">
        <v>45542.0</v>
      </c>
      <c r="D61" s="17">
        <v>10.16</v>
      </c>
      <c r="E61" s="42" t="s">
        <v>96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1"/>
      <c r="B62" s="12" t="s">
        <v>324</v>
      </c>
      <c r="C62" s="63">
        <v>45542.0</v>
      </c>
      <c r="D62" s="17">
        <v>117.27</v>
      </c>
      <c r="E62" s="42" t="s">
        <v>85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2"/>
      <c r="B63" s="12" t="s">
        <v>441</v>
      </c>
      <c r="C63" s="63">
        <v>45541.0</v>
      </c>
      <c r="D63" s="17">
        <v>7.99</v>
      </c>
      <c r="E63" s="42" t="s">
        <v>90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2"/>
      <c r="B64" s="12" t="s">
        <v>442</v>
      </c>
      <c r="C64" s="63">
        <v>45539.0</v>
      </c>
      <c r="D64" s="17">
        <v>1949.25</v>
      </c>
      <c r="E64" s="42" t="s">
        <v>98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2"/>
      <c r="B65" s="12" t="s">
        <v>295</v>
      </c>
      <c r="C65" s="63">
        <v>45539.0</v>
      </c>
      <c r="D65" s="17">
        <v>48.68</v>
      </c>
      <c r="E65" s="42" t="s">
        <v>98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2"/>
      <c r="B66" s="12" t="s">
        <v>443</v>
      </c>
      <c r="C66" s="63">
        <v>45538.0</v>
      </c>
      <c r="D66" s="17">
        <v>24.85</v>
      </c>
      <c r="E66" s="42" t="s">
        <v>82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2"/>
      <c r="B67" s="12" t="s">
        <v>444</v>
      </c>
      <c r="C67" s="63">
        <v>45537.0</v>
      </c>
      <c r="D67" s="17">
        <v>129.43</v>
      </c>
      <c r="E67" s="42" t="s">
        <v>98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 t="s">
        <v>256</v>
      </c>
      <c r="C68" s="63">
        <v>45537.0</v>
      </c>
      <c r="D68" s="17">
        <v>145.77</v>
      </c>
      <c r="E68" s="42" t="s">
        <v>229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 t="s">
        <v>324</v>
      </c>
      <c r="C69" s="63">
        <v>45536.0</v>
      </c>
      <c r="D69" s="17">
        <v>76.75</v>
      </c>
      <c r="E69" s="42" t="s">
        <v>106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 t="s">
        <v>318</v>
      </c>
      <c r="C70" s="63">
        <v>45536.0</v>
      </c>
      <c r="D70" s="17">
        <v>135.2</v>
      </c>
      <c r="E70" s="42" t="s">
        <v>105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 t="s">
        <v>328</v>
      </c>
      <c r="C71" s="63">
        <v>45536.0</v>
      </c>
      <c r="D71" s="17">
        <v>90.39</v>
      </c>
      <c r="E71" s="42" t="s">
        <v>95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 t="s">
        <v>305</v>
      </c>
      <c r="C72" s="62">
        <v>45535.0</v>
      </c>
      <c r="D72" s="17">
        <v>5.64</v>
      </c>
      <c r="E72" s="42" t="s">
        <v>105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 t="s">
        <v>445</v>
      </c>
      <c r="C73" s="62">
        <v>45535.0</v>
      </c>
      <c r="D73" s="17">
        <v>21.28</v>
      </c>
      <c r="E73" s="42" t="s">
        <v>106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 t="s">
        <v>324</v>
      </c>
      <c r="C74" s="62">
        <v>45535.0</v>
      </c>
      <c r="D74" s="17">
        <v>13.95</v>
      </c>
      <c r="E74" s="42" t="s">
        <v>89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 t="s">
        <v>324</v>
      </c>
      <c r="C75" s="62">
        <v>45535.0</v>
      </c>
      <c r="D75" s="17">
        <v>72.12</v>
      </c>
      <c r="E75" s="42" t="s">
        <v>90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 t="s">
        <v>233</v>
      </c>
      <c r="C76" s="62">
        <v>45535.0</v>
      </c>
      <c r="D76" s="17">
        <v>93.79</v>
      </c>
      <c r="E76" s="42" t="s">
        <v>82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 t="s">
        <v>441</v>
      </c>
      <c r="C77" s="62">
        <v>45535.0</v>
      </c>
      <c r="D77" s="17">
        <v>4.99</v>
      </c>
      <c r="E77" s="42" t="s">
        <v>82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 t="s">
        <v>441</v>
      </c>
      <c r="C78" s="62">
        <v>45535.0</v>
      </c>
      <c r="D78" s="17">
        <v>6.77</v>
      </c>
      <c r="E78" s="42" t="s">
        <v>106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 t="s">
        <v>305</v>
      </c>
      <c r="C79" s="62">
        <v>45534.0</v>
      </c>
      <c r="D79" s="45">
        <v>24.85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 t="s">
        <v>152</v>
      </c>
      <c r="C80" s="62">
        <v>45534.0</v>
      </c>
      <c r="D80" s="45">
        <v>-9867.61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 t="s">
        <v>393</v>
      </c>
      <c r="C81" s="62">
        <v>45534.0</v>
      </c>
      <c r="D81" s="45">
        <v>101.69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 t="s">
        <v>446</v>
      </c>
      <c r="C82" s="62">
        <v>45533.0</v>
      </c>
      <c r="D82" s="45">
        <v>29.13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 t="s">
        <v>447</v>
      </c>
      <c r="C83" s="62">
        <v>45533.0</v>
      </c>
      <c r="D83" s="45">
        <v>101.69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 t="s">
        <v>435</v>
      </c>
      <c r="C84" s="62">
        <v>45532.0</v>
      </c>
      <c r="D84" s="45">
        <v>33.89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 t="s">
        <v>324</v>
      </c>
      <c r="C85" s="62">
        <v>45532.0</v>
      </c>
      <c r="D85" s="45">
        <v>24.48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 t="s">
        <v>393</v>
      </c>
      <c r="C86" s="62">
        <v>45532.0</v>
      </c>
      <c r="D86" s="45">
        <v>45.75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 t="s">
        <v>405</v>
      </c>
      <c r="C87" s="62">
        <v>45532.0</v>
      </c>
      <c r="D87" s="45">
        <v>13.07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 t="s">
        <v>305</v>
      </c>
      <c r="C88" s="62">
        <v>45531.0</v>
      </c>
      <c r="D88" s="45">
        <v>7.9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 t="s">
        <v>305</v>
      </c>
      <c r="C89" s="62">
        <v>45531.0</v>
      </c>
      <c r="D89" s="45">
        <v>14.68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 t="s">
        <v>448</v>
      </c>
      <c r="C90" s="62">
        <v>45531.0</v>
      </c>
      <c r="D90" s="45">
        <v>9.26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 t="s">
        <v>256</v>
      </c>
      <c r="C91" s="62">
        <v>45530.0</v>
      </c>
      <c r="D91" s="45">
        <v>145.77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 t="s">
        <v>449</v>
      </c>
      <c r="C92" s="62">
        <v>45529.0</v>
      </c>
      <c r="D92" s="45">
        <v>80.2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 t="s">
        <v>335</v>
      </c>
      <c r="C93" s="62">
        <v>45529.0</v>
      </c>
      <c r="D93" s="45">
        <v>174.03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 t="s">
        <v>450</v>
      </c>
      <c r="C94" s="62">
        <v>45529.0</v>
      </c>
      <c r="D94" s="45">
        <v>16.0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 t="s">
        <v>451</v>
      </c>
      <c r="C95" s="62">
        <v>45529.0</v>
      </c>
      <c r="D95" s="45">
        <v>29.36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 t="s">
        <v>369</v>
      </c>
      <c r="C96" s="62">
        <v>45527.0</v>
      </c>
      <c r="D96" s="45">
        <v>178.92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 t="s">
        <v>452</v>
      </c>
      <c r="C97" s="62">
        <v>45527.0</v>
      </c>
      <c r="D97" s="45">
        <v>94.65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</sheetData>
  <mergeCells count="3">
    <mergeCell ref="A1:B1"/>
    <mergeCell ref="C1:D1"/>
    <mergeCell ref="E1:F1"/>
  </mergeCells>
  <dataValidations>
    <dataValidation type="list" allowBlank="1" sqref="E7:E16 E28:E33 E41 E44:E78">
      <formula1>"PAYMENT,DINE IN,TAKEOUT,DELIVERY,COFFEE,GROCERIES,INTERNET,MOBILE,PRIME VIDEO,HEALTH,CANNABIS,ALCOHOL,GAS,PARKING,NEWSPAPER,CLOTHES,TECHNOLOGY,FURNITURE,CHARITY,ENTERTAINMENT,PETS,HOTELS,TRANSPORTATION,HOUSEHOLD,GIFTS,FLIGHTS,PARAMOUNT,SPOTIFY"</formula1>
    </dataValidation>
    <dataValidation type="list" allowBlank="1" sqref="E17:E27 E34:E40 E42:E43">
      <formula1>"OTHER/NONE,PAYMENT,DINE IN,TAKEOUT,DELIVERY,COFFEE,GROCERIES,INTERNET,MOBILE,SUBSCRIPTION SERVICES,BENEFITS,CANNABIS,ALCOHOL,GAS,PARKING,NEWSPAPER,CLOTHES,TECHNOLOGY,FURNITURE,CHARITY,ENTERTAINMENT,CATS,HOTELS,TRANSPORTATION,HEALTH"</formula1>
    </dataValidation>
  </dataValidation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3" t="s">
        <v>108</v>
      </c>
      <c r="B1" s="10" t="s">
        <v>13</v>
      </c>
    </row>
    <row r="2">
      <c r="A2" s="3"/>
      <c r="B2" s="47"/>
      <c r="D2" s="47"/>
    </row>
    <row r="3">
      <c r="A3" s="3" t="s">
        <v>109</v>
      </c>
      <c r="B3" s="47"/>
      <c r="D3" s="47"/>
    </row>
    <row r="4">
      <c r="A4" s="10" t="s">
        <v>110</v>
      </c>
      <c r="B4" s="13">
        <v>0.0</v>
      </c>
      <c r="C4" s="48"/>
    </row>
    <row r="5">
      <c r="A5" s="10" t="s">
        <v>17</v>
      </c>
      <c r="B5" s="28">
        <f>3111.28*2</f>
        <v>6222.56</v>
      </c>
      <c r="C5" s="48">
        <f>B5/B7</f>
        <v>0.6049213731</v>
      </c>
    </row>
    <row r="6">
      <c r="A6" s="10" t="s">
        <v>23</v>
      </c>
      <c r="B6" s="28">
        <f>2032*2</f>
        <v>4064</v>
      </c>
      <c r="C6" s="48">
        <f>B6/B7</f>
        <v>0.3950786269</v>
      </c>
    </row>
    <row r="7">
      <c r="A7" s="10" t="s">
        <v>111</v>
      </c>
      <c r="B7" s="14">
        <f>SUM(B5:B6)</f>
        <v>10286.56</v>
      </c>
    </row>
    <row r="9">
      <c r="A9" s="3" t="s">
        <v>112</v>
      </c>
      <c r="C9" s="10" t="s">
        <v>17</v>
      </c>
      <c r="D9" s="10" t="s">
        <v>23</v>
      </c>
    </row>
    <row r="10">
      <c r="A10" s="10" t="s">
        <v>113</v>
      </c>
      <c r="B10" s="13">
        <v>1711.29</v>
      </c>
      <c r="C10" s="14">
        <f>B10*C5</f>
        <v>1035.195897</v>
      </c>
      <c r="D10" s="14">
        <f>B10*C6</f>
        <v>676.0941034</v>
      </c>
    </row>
    <row r="11">
      <c r="A11" s="10" t="s">
        <v>417</v>
      </c>
      <c r="B11" s="13">
        <v>35.0</v>
      </c>
      <c r="C11" s="14">
        <f>B11*C5</f>
        <v>21.17224806</v>
      </c>
      <c r="D11" s="14">
        <f>B11*C6</f>
        <v>13.82775194</v>
      </c>
    </row>
    <row r="12">
      <c r="A12" s="10" t="s">
        <v>453</v>
      </c>
      <c r="B12" s="13">
        <f>366.24</f>
        <v>366.24</v>
      </c>
      <c r="C12" s="14">
        <f>B12*C5</f>
        <v>221.5464037</v>
      </c>
      <c r="D12" s="14">
        <f>B12*C6</f>
        <v>144.6935963</v>
      </c>
    </row>
    <row r="13">
      <c r="A13" s="10" t="s">
        <v>116</v>
      </c>
      <c r="B13" s="13">
        <f>93.51</f>
        <v>93.51</v>
      </c>
      <c r="C13" s="14">
        <f>B13*C5</f>
        <v>56.5661976</v>
      </c>
      <c r="D13" s="14">
        <f>B13*C6</f>
        <v>36.9438024</v>
      </c>
    </row>
    <row r="14">
      <c r="A14" s="10" t="s">
        <v>117</v>
      </c>
      <c r="B14" s="13">
        <v>138.83</v>
      </c>
      <c r="C14" s="14">
        <f>B14*C5</f>
        <v>83.98123423</v>
      </c>
      <c r="D14" s="14">
        <f>B14*C6</f>
        <v>54.84876577</v>
      </c>
    </row>
    <row r="15">
      <c r="A15" s="10" t="s">
        <v>118</v>
      </c>
      <c r="B15" s="13">
        <v>134.48</v>
      </c>
      <c r="C15" s="14">
        <f>B15*C5</f>
        <v>81.34982626</v>
      </c>
      <c r="D15" s="14">
        <f>B15*C6</f>
        <v>53.13017374</v>
      </c>
    </row>
    <row r="16">
      <c r="A16" s="10" t="s">
        <v>119</v>
      </c>
      <c r="B16" s="14">
        <v>40.27</v>
      </c>
      <c r="C16" s="14">
        <f>B16*C5</f>
        <v>24.3601837</v>
      </c>
      <c r="D16" s="14">
        <f>B16*C6</f>
        <v>15.9098163</v>
      </c>
    </row>
    <row r="17">
      <c r="A17" s="10" t="s">
        <v>120</v>
      </c>
      <c r="B17" s="14">
        <f>151.88</f>
        <v>151.88</v>
      </c>
      <c r="C17" s="14">
        <f>B17*C5</f>
        <v>91.87545815</v>
      </c>
      <c r="D17" s="14">
        <f>B17*C6</f>
        <v>60.00454185</v>
      </c>
    </row>
    <row r="18">
      <c r="B18" s="14"/>
      <c r="C18" s="14"/>
      <c r="D18" s="14"/>
    </row>
    <row r="19">
      <c r="A19" s="3" t="s">
        <v>122</v>
      </c>
      <c r="B19" s="13"/>
      <c r="C19" s="13"/>
      <c r="D19" s="14"/>
    </row>
    <row r="20">
      <c r="B20" s="14">
        <f>B7*0.25</f>
        <v>2571.64</v>
      </c>
      <c r="C20" s="14">
        <f>B20*C5</f>
        <v>1555.64</v>
      </c>
      <c r="D20" s="14">
        <f>B20*C6</f>
        <v>1016</v>
      </c>
    </row>
    <row r="21">
      <c r="A21" s="10"/>
    </row>
    <row r="22">
      <c r="A22" s="10" t="s">
        <v>124</v>
      </c>
      <c r="B22" s="14">
        <f t="shared" ref="B22:D22" si="1">SUM(B10:B20)</f>
        <v>5243.14</v>
      </c>
      <c r="C22" s="14">
        <f t="shared" si="1"/>
        <v>3171.687448</v>
      </c>
      <c r="D22" s="14">
        <f t="shared" si="1"/>
        <v>2071.452552</v>
      </c>
    </row>
    <row r="23">
      <c r="A23" s="10"/>
    </row>
    <row r="24">
      <c r="A24" s="10" t="s">
        <v>125</v>
      </c>
      <c r="C24" s="14">
        <f>B5-C22</f>
        <v>3050.872552</v>
      </c>
      <c r="D24" s="14">
        <f>B6-D22</f>
        <v>1992.547448</v>
      </c>
    </row>
    <row r="25">
      <c r="A25" s="47">
        <v>45214.0</v>
      </c>
      <c r="C25" s="13">
        <f t="shared" ref="C25:D25" si="2">C24/2</f>
        <v>1525.436276</v>
      </c>
      <c r="D25" s="14">
        <f t="shared" si="2"/>
        <v>996.2737242</v>
      </c>
    </row>
    <row r="26">
      <c r="A26" s="47">
        <v>45229.0</v>
      </c>
      <c r="C26" s="13">
        <f t="shared" ref="C26:D26" si="3">C24/2</f>
        <v>1525.436276</v>
      </c>
      <c r="D26" s="13">
        <f t="shared" si="3"/>
        <v>996.2737242</v>
      </c>
    </row>
    <row r="29">
      <c r="A29" s="49"/>
      <c r="B29" s="49"/>
      <c r="C29" s="49"/>
      <c r="D29" s="49"/>
    </row>
    <row r="30">
      <c r="A30" s="3" t="s">
        <v>126</v>
      </c>
      <c r="C30" s="10" t="s">
        <v>128</v>
      </c>
    </row>
    <row r="31">
      <c r="A31" s="10" t="s">
        <v>130</v>
      </c>
      <c r="B31" s="13"/>
    </row>
    <row r="32">
      <c r="A32" s="10" t="s">
        <v>131</v>
      </c>
      <c r="B32" s="13"/>
    </row>
    <row r="33">
      <c r="A33" s="10" t="s">
        <v>418</v>
      </c>
      <c r="B33" s="72"/>
    </row>
    <row r="34">
      <c r="B34" s="14"/>
      <c r="C34" s="14"/>
      <c r="D34" s="14"/>
      <c r="E34" s="14"/>
      <c r="F34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1.25"/>
    <col customWidth="1" min="10" max="10" width="18.63"/>
  </cols>
  <sheetData>
    <row r="1">
      <c r="A1" s="35" t="s">
        <v>134</v>
      </c>
      <c r="E1" s="12"/>
      <c r="F1" s="12"/>
      <c r="G1" s="35" t="s">
        <v>135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6" t="s">
        <v>136</v>
      </c>
      <c r="B2" s="37">
        <v>45193.0</v>
      </c>
      <c r="C2" s="36"/>
      <c r="D2" s="18"/>
      <c r="E2" s="38"/>
      <c r="F2" s="12"/>
      <c r="G2" s="36" t="s">
        <v>136</v>
      </c>
      <c r="H2" s="18"/>
      <c r="I2" s="37">
        <v>45193.0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36" t="s">
        <v>137</v>
      </c>
      <c r="B3" s="26"/>
      <c r="C3" s="36"/>
      <c r="D3" s="18"/>
      <c r="E3" s="31"/>
      <c r="F3" s="12"/>
      <c r="G3" s="36" t="s">
        <v>137</v>
      </c>
      <c r="H3" s="18"/>
      <c r="I3" s="2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36" t="s">
        <v>138</v>
      </c>
      <c r="B4" s="39">
        <v>45222.0</v>
      </c>
      <c r="C4" s="36"/>
      <c r="D4" s="18"/>
      <c r="E4" s="40"/>
      <c r="F4" s="12"/>
      <c r="G4" s="36" t="s">
        <v>138</v>
      </c>
      <c r="H4" s="18"/>
      <c r="I4" s="39">
        <v>45222.0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2"/>
      <c r="C5" s="18"/>
      <c r="D5" s="1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>
      <c r="A6" s="12"/>
      <c r="B6" s="12" t="s">
        <v>139</v>
      </c>
      <c r="C6" s="19" t="s">
        <v>140</v>
      </c>
      <c r="D6" s="18" t="s">
        <v>141</v>
      </c>
      <c r="E6" s="12" t="s">
        <v>67</v>
      </c>
      <c r="F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12"/>
      <c r="B7" s="16"/>
      <c r="C7" s="41"/>
      <c r="D7" s="17"/>
      <c r="E7" s="42" t="s">
        <v>95</v>
      </c>
      <c r="F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>
      <c r="A8" s="12"/>
      <c r="B8" s="16"/>
      <c r="C8" s="41"/>
      <c r="D8" s="17"/>
      <c r="E8" s="42" t="s">
        <v>95</v>
      </c>
      <c r="F8" s="4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>
      <c r="A9" s="12"/>
      <c r="B9" s="16"/>
      <c r="C9" s="46"/>
      <c r="D9" s="17"/>
      <c r="E9" s="42" t="s">
        <v>105</v>
      </c>
      <c r="F9" s="43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>
      <c r="A10" s="12"/>
      <c r="B10" s="16"/>
      <c r="C10" s="46"/>
      <c r="D10" s="17"/>
      <c r="E10" s="42" t="s">
        <v>83</v>
      </c>
      <c r="F10" s="4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>
      <c r="A11" s="12"/>
      <c r="B11" s="16"/>
      <c r="C11" s="46"/>
      <c r="D11" s="17"/>
      <c r="E11" s="42" t="s">
        <v>153</v>
      </c>
      <c r="F11" s="4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>
      <c r="A12" s="12"/>
      <c r="B12" s="16"/>
      <c r="C12" s="46"/>
      <c r="D12" s="17"/>
      <c r="E12" s="42" t="s">
        <v>103</v>
      </c>
      <c r="F12" s="4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>
      <c r="A13" s="12"/>
      <c r="B13" s="16"/>
      <c r="C13" s="46"/>
      <c r="D13" s="17"/>
      <c r="E13" s="42" t="s">
        <v>105</v>
      </c>
      <c r="F13" s="43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>
      <c r="A14" s="12"/>
      <c r="B14" s="16"/>
      <c r="C14" s="46"/>
      <c r="D14" s="17"/>
      <c r="E14" s="42" t="s">
        <v>89</v>
      </c>
      <c r="F14" s="4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>
      <c r="A15" s="12"/>
      <c r="B15" s="16"/>
      <c r="C15" s="46"/>
      <c r="D15" s="17"/>
      <c r="E15" s="42" t="s">
        <v>95</v>
      </c>
      <c r="F15" s="4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>
      <c r="A16" s="12"/>
      <c r="B16" s="11"/>
      <c r="C16" s="46"/>
      <c r="D16" s="17"/>
      <c r="E16" s="42" t="s">
        <v>103</v>
      </c>
      <c r="F16" s="4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>
      <c r="A17" s="12"/>
      <c r="B17" s="16"/>
      <c r="C17" s="46"/>
      <c r="D17" s="17"/>
      <c r="E17" s="42" t="s">
        <v>100</v>
      </c>
      <c r="F17" s="4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>
      <c r="A18" s="12"/>
      <c r="B18" s="12"/>
      <c r="C18" s="46"/>
      <c r="D18" s="17"/>
      <c r="E18" s="42" t="s">
        <v>105</v>
      </c>
      <c r="F18" s="4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>
      <c r="A19" s="12"/>
      <c r="B19" s="12"/>
      <c r="C19" s="46"/>
      <c r="D19" s="17"/>
      <c r="E19" s="42" t="s">
        <v>98</v>
      </c>
      <c r="F19" s="4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>
      <c r="A20" s="12"/>
      <c r="B20" s="12"/>
      <c r="C20" s="46"/>
      <c r="D20" s="17"/>
      <c r="E20" s="42" t="s">
        <v>107</v>
      </c>
      <c r="F20" s="4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>
      <c r="A21" s="12"/>
      <c r="B21" s="12"/>
      <c r="C21" s="46"/>
      <c r="D21" s="17"/>
      <c r="E21" s="42" t="s">
        <v>106</v>
      </c>
      <c r="F21" s="4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>
      <c r="A22" s="12"/>
      <c r="B22" s="12"/>
      <c r="C22" s="46"/>
      <c r="D22" s="17"/>
      <c r="E22" s="42" t="s">
        <v>95</v>
      </c>
      <c r="F22" s="4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>
      <c r="A23" s="12"/>
      <c r="B23" s="12"/>
      <c r="C23" s="46"/>
      <c r="D23" s="17"/>
      <c r="E23" s="42" t="s">
        <v>99</v>
      </c>
      <c r="F23" s="4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>
      <c r="A24" s="12"/>
      <c r="B24" s="11"/>
      <c r="C24" s="46"/>
      <c r="D24" s="17"/>
      <c r="E24" s="42" t="s">
        <v>103</v>
      </c>
      <c r="F24" s="4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>
      <c r="A25" s="12"/>
      <c r="B25" s="12"/>
      <c r="C25" s="46"/>
      <c r="D25" s="17"/>
      <c r="E25" s="42" t="s">
        <v>82</v>
      </c>
      <c r="F25" s="4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>
      <c r="A26" s="12"/>
      <c r="B26" s="12"/>
      <c r="C26" s="46"/>
      <c r="D26" s="17"/>
      <c r="E26" s="42" t="s">
        <v>82</v>
      </c>
      <c r="F26" s="4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>
      <c r="A27" s="12"/>
      <c r="B27" s="12"/>
      <c r="C27" s="46"/>
      <c r="D27" s="17"/>
      <c r="E27" s="42" t="s">
        <v>153</v>
      </c>
      <c r="F27" s="4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>
      <c r="A28" s="12"/>
      <c r="B28" s="12"/>
      <c r="C28" s="46"/>
      <c r="D28" s="17"/>
      <c r="E28" s="42" t="s">
        <v>93</v>
      </c>
      <c r="F28" s="4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>
      <c r="A29" s="12"/>
      <c r="B29" s="12"/>
      <c r="C29" s="46"/>
      <c r="D29" s="17"/>
      <c r="E29" s="42" t="s">
        <v>104</v>
      </c>
      <c r="F29" s="43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>
      <c r="A30" s="12"/>
      <c r="B30" s="12"/>
      <c r="C30" s="46"/>
      <c r="D30" s="17"/>
      <c r="E30" s="42" t="s">
        <v>90</v>
      </c>
      <c r="F30" s="4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>
      <c r="A31" s="12"/>
      <c r="B31" s="12"/>
      <c r="C31" s="46"/>
      <c r="D31" s="17"/>
      <c r="E31" s="42" t="s">
        <v>101</v>
      </c>
      <c r="F31" s="4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>
      <c r="A32" s="12"/>
      <c r="B32" s="12"/>
      <c r="C32" s="46"/>
      <c r="D32" s="17"/>
      <c r="E32" s="42" t="s">
        <v>95</v>
      </c>
      <c r="F32" s="4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>
      <c r="A33" s="12"/>
      <c r="B33" s="12"/>
      <c r="C33" s="46"/>
      <c r="D33" s="17"/>
      <c r="E33" s="42" t="s">
        <v>88</v>
      </c>
      <c r="F33" s="4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>
      <c r="A34" s="12"/>
      <c r="B34" s="12"/>
      <c r="C34" s="46"/>
      <c r="D34" s="17"/>
      <c r="E34" s="42" t="s">
        <v>103</v>
      </c>
      <c r="F34" s="4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>
      <c r="A35" s="12"/>
      <c r="B35" s="12"/>
      <c r="C35" s="46"/>
      <c r="D35" s="17"/>
      <c r="E35" s="42" t="s">
        <v>82</v>
      </c>
      <c r="F35" s="4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>
      <c r="A36" s="12"/>
      <c r="B36" s="12"/>
      <c r="C36" s="46"/>
      <c r="D36" s="17"/>
      <c r="E36" s="42" t="s">
        <v>105</v>
      </c>
      <c r="F36" s="4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>
      <c r="A37" s="12"/>
      <c r="B37" s="12"/>
      <c r="C37" s="46"/>
      <c r="D37" s="17"/>
      <c r="E37" s="42" t="s">
        <v>95</v>
      </c>
      <c r="F37" s="4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>
      <c r="A38" s="12"/>
      <c r="B38" s="12"/>
      <c r="C38" s="46"/>
      <c r="D38" s="17"/>
      <c r="E38" s="42" t="s">
        <v>107</v>
      </c>
      <c r="F38" s="4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>
      <c r="A39" s="12"/>
      <c r="B39" s="12"/>
      <c r="C39" s="46"/>
      <c r="D39" s="17"/>
      <c r="E39" s="42" t="s">
        <v>107</v>
      </c>
      <c r="F39" s="4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>
      <c r="A40" s="12"/>
      <c r="B40" s="12"/>
      <c r="C40" s="46"/>
      <c r="D40" s="17"/>
      <c r="E40" s="42" t="s">
        <v>82</v>
      </c>
      <c r="F40" s="4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>
      <c r="A41" s="12"/>
      <c r="B41" s="12"/>
      <c r="C41" s="46"/>
      <c r="D41" s="17"/>
      <c r="E41" s="42" t="s">
        <v>82</v>
      </c>
      <c r="F41" s="4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>
      <c r="A42" s="12"/>
      <c r="B42" s="12"/>
      <c r="C42" s="46"/>
      <c r="D42" s="17"/>
      <c r="E42" s="42" t="s">
        <v>106</v>
      </c>
      <c r="F42" s="4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>
      <c r="A43" s="12"/>
      <c r="B43" s="12"/>
      <c r="C43" s="46"/>
      <c r="D43" s="17"/>
      <c r="E43" s="42" t="s">
        <v>107</v>
      </c>
      <c r="F43" s="4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>
      <c r="A44" s="12"/>
      <c r="B44" s="12"/>
      <c r="C44" s="46"/>
      <c r="D44" s="17"/>
      <c r="E44" s="42" t="s">
        <v>85</v>
      </c>
      <c r="F44" s="4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>
      <c r="A45" s="12"/>
      <c r="B45" s="12"/>
      <c r="C45" s="46"/>
      <c r="D45" s="17"/>
      <c r="E45" s="42" t="s">
        <v>93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>
      <c r="A46" s="12"/>
      <c r="B46" s="12"/>
      <c r="C46" s="46"/>
      <c r="D46" s="17"/>
      <c r="E46" s="42" t="s">
        <v>103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>
      <c r="A47" s="12"/>
      <c r="B47" s="12"/>
      <c r="C47" s="41"/>
      <c r="D47" s="17"/>
      <c r="E47" s="42" t="s">
        <v>106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>
      <c r="A48" s="12"/>
      <c r="B48" s="12"/>
      <c r="C48" s="41"/>
      <c r="D48" s="17"/>
      <c r="E48" s="42" t="s">
        <v>106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>
      <c r="A49" s="12"/>
      <c r="B49" s="12"/>
      <c r="C49" s="41"/>
      <c r="D49" s="17"/>
      <c r="E49" s="42" t="s">
        <v>101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>
      <c r="A50" s="12"/>
      <c r="B50" s="12"/>
      <c r="C50" s="41"/>
      <c r="D50" s="17"/>
      <c r="E50" s="42" t="s">
        <v>95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>
      <c r="A51" s="12"/>
      <c r="B51" s="12"/>
      <c r="C51" s="41"/>
      <c r="D51" s="17"/>
      <c r="E51" s="42" t="s">
        <v>95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>
      <c r="A52" s="12"/>
      <c r="B52" s="12"/>
      <c r="C52" s="41"/>
      <c r="D52" s="17"/>
      <c r="E52" s="42" t="s">
        <v>106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>
      <c r="A53" s="12"/>
      <c r="B53" s="12"/>
      <c r="C53" s="41"/>
      <c r="D53" s="17"/>
      <c r="E53" s="42" t="s">
        <v>104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>
      <c r="A54" s="12"/>
      <c r="B54" s="12"/>
      <c r="C54" s="41"/>
      <c r="D54" s="17"/>
      <c r="E54" s="42" t="s">
        <v>89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>
      <c r="A55" s="12"/>
      <c r="B55" s="12"/>
      <c r="C55" s="41"/>
      <c r="D55" s="17"/>
      <c r="E55" s="42" t="s">
        <v>82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>
      <c r="A56" s="12"/>
      <c r="B56" s="12"/>
      <c r="C56" s="41"/>
      <c r="D56" s="17"/>
      <c r="E56" s="42" t="s">
        <v>98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>
      <c r="A57" s="12"/>
      <c r="B57" s="12"/>
      <c r="C57" s="41"/>
      <c r="D57" s="17"/>
      <c r="E57" s="42" t="s">
        <v>87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>
      <c r="A58" s="12"/>
      <c r="B58" s="12"/>
      <c r="C58" s="41"/>
      <c r="D58" s="17"/>
      <c r="E58" s="42" t="s">
        <v>85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>
      <c r="A59" s="12"/>
      <c r="B59" s="12"/>
      <c r="C59" s="41"/>
      <c r="D59" s="17"/>
      <c r="E59" s="42" t="s">
        <v>98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>
      <c r="A60" s="12"/>
      <c r="B60" s="12"/>
      <c r="C60" s="41"/>
      <c r="D60" s="17"/>
      <c r="E60" s="42" t="s">
        <v>105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>
      <c r="A61" s="12"/>
      <c r="B61" s="12"/>
      <c r="C61" s="41"/>
      <c r="D61" s="17"/>
      <c r="E61" s="42" t="s">
        <v>90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>
      <c r="A62" s="11"/>
      <c r="B62" s="12"/>
      <c r="C62" s="41"/>
      <c r="D62" s="17"/>
      <c r="E62" s="42" t="s">
        <v>106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>
      <c r="A63" s="12"/>
      <c r="B63" s="12"/>
      <c r="C63" s="41"/>
      <c r="D63" s="17"/>
      <c r="E63" s="42" t="s">
        <v>105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>
      <c r="A64" s="12"/>
      <c r="B64" s="12"/>
      <c r="C64" s="41"/>
      <c r="D64" s="17"/>
      <c r="E64" s="42" t="s">
        <v>102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>
      <c r="A65" s="12"/>
      <c r="B65" s="12"/>
      <c r="C65" s="41"/>
      <c r="D65" s="17"/>
      <c r="E65" s="42" t="s">
        <v>85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>
      <c r="A66" s="12"/>
      <c r="B66" s="12"/>
      <c r="C66" s="41"/>
      <c r="D66" s="17"/>
      <c r="E66" s="42" t="s">
        <v>82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>
      <c r="A67" s="12"/>
      <c r="B67" s="12"/>
      <c r="C67" s="41"/>
      <c r="D67" s="17"/>
      <c r="E67" s="42" t="s">
        <v>93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>
      <c r="A68" s="12"/>
      <c r="B68" s="12"/>
      <c r="C68" s="41"/>
      <c r="D68" s="17"/>
      <c r="E68" s="42" t="s">
        <v>87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>
      <c r="A69" s="12"/>
      <c r="B69" s="12"/>
      <c r="C69" s="41"/>
      <c r="D69" s="17"/>
      <c r="E69" s="42" t="s">
        <v>89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>
      <c r="A70" s="12"/>
      <c r="B70" s="12"/>
      <c r="C70" s="41"/>
      <c r="D70" s="17"/>
      <c r="E70" s="42" t="s">
        <v>106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>
      <c r="A71" s="12"/>
      <c r="B71" s="12"/>
      <c r="C71" s="41"/>
      <c r="D71" s="17"/>
      <c r="E71" s="42" t="s">
        <v>93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>
      <c r="A72" s="12"/>
      <c r="B72" s="12"/>
      <c r="C72" s="41"/>
      <c r="D72" s="17"/>
      <c r="E72" s="42" t="s">
        <v>90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>
      <c r="A73" s="12"/>
      <c r="B73" s="12"/>
      <c r="C73" s="41"/>
      <c r="D73" s="17"/>
      <c r="E73" s="42" t="s">
        <v>82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>
      <c r="A74" s="12"/>
      <c r="B74" s="12"/>
      <c r="C74" s="41"/>
      <c r="D74" s="17"/>
      <c r="E74" s="42" t="s">
        <v>106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>
      <c r="A75" s="12"/>
      <c r="B75" s="12"/>
      <c r="C75" s="12"/>
      <c r="D75" s="18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>
      <c r="A76" s="12"/>
      <c r="B76" s="12"/>
      <c r="C76" s="12"/>
      <c r="D76" s="18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>
      <c r="A77" s="12"/>
      <c r="B77" s="12"/>
      <c r="C77" s="12"/>
      <c r="D77" s="18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>
      <c r="A78" s="12"/>
      <c r="B78" s="12"/>
      <c r="C78" s="12"/>
      <c r="D78" s="18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>
      <c r="A79" s="12"/>
      <c r="B79" s="12"/>
      <c r="C79" s="12"/>
      <c r="D79" s="18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>
      <c r="A80" s="12"/>
      <c r="B80" s="12"/>
      <c r="C80" s="12"/>
      <c r="D80" s="18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>
      <c r="A81" s="12"/>
      <c r="B81" s="12"/>
      <c r="C81" s="12"/>
      <c r="D81" s="18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>
      <c r="A82" s="12"/>
      <c r="B82" s="12"/>
      <c r="C82" s="12"/>
      <c r="D82" s="18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>
      <c r="A83" s="12"/>
      <c r="B83" s="12"/>
      <c r="C83" s="12"/>
      <c r="D83" s="18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>
      <c r="A84" s="12"/>
      <c r="B84" s="12"/>
      <c r="C84" s="12"/>
      <c r="D84" s="18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>
      <c r="A85" s="12"/>
      <c r="B85" s="12"/>
      <c r="C85" s="12"/>
      <c r="D85" s="18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>
      <c r="A86" s="12"/>
      <c r="B86" s="12"/>
      <c r="C86" s="12"/>
      <c r="D86" s="18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>
      <c r="A87" s="12"/>
      <c r="B87" s="12"/>
      <c r="C87" s="12"/>
      <c r="D87" s="18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>
      <c r="A88" s="12"/>
      <c r="B88" s="12"/>
      <c r="C88" s="12"/>
      <c r="D88" s="18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>
      <c r="A89" s="12"/>
      <c r="B89" s="12"/>
      <c r="C89" s="12"/>
      <c r="D89" s="18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>
      <c r="A90" s="12"/>
      <c r="B90" s="12"/>
      <c r="C90" s="12"/>
      <c r="D90" s="18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>
      <c r="A91" s="12"/>
      <c r="B91" s="12"/>
      <c r="C91" s="12"/>
      <c r="D91" s="18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>
      <c r="A92" s="12"/>
      <c r="B92" s="12"/>
      <c r="C92" s="12"/>
      <c r="D92" s="18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>
      <c r="A93" s="12"/>
      <c r="B93" s="12"/>
      <c r="C93" s="12"/>
      <c r="D93" s="18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>
      <c r="A94" s="12"/>
      <c r="B94" s="12"/>
      <c r="C94" s="12"/>
      <c r="D94" s="18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>
      <c r="A95" s="12"/>
      <c r="B95" s="12"/>
      <c r="C95" s="12"/>
      <c r="D95" s="18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>
      <c r="A96" s="12"/>
      <c r="B96" s="12"/>
      <c r="C96" s="12"/>
      <c r="D96" s="18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>
      <c r="A97" s="12"/>
      <c r="B97" s="12"/>
      <c r="C97" s="12"/>
      <c r="D97" s="18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>
      <c r="A98" s="12"/>
      <c r="B98" s="12"/>
      <c r="C98" s="12"/>
      <c r="D98" s="18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>
      <c r="A99" s="12"/>
      <c r="B99" s="12"/>
      <c r="C99" s="12"/>
      <c r="D99" s="18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8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8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8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8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8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8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8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8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8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8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8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8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8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8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8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8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8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8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8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8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8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8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8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8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8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8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8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8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8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8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8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8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8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8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8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8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8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8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8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8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8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8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8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8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8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8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8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8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8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8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8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8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8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8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8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8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8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8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8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8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8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8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8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8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8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8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8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8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8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8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8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8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8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8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8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8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8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8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8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8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8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8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8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8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8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8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8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8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8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8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8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8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8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8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8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8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8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8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8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8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8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8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8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8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8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8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8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8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8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8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8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8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8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8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8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8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8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8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8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8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8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8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8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8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8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8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8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8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8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8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8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8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8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8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8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8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8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8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8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8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8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8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8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8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8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8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8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8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8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8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8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8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8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8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8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8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8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8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8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8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8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8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8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8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8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8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8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8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8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8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8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8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8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8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8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8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8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8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8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8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8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8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8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8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8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8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8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8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8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8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8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8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8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8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8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8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8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8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8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8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8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8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8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8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8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8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8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8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8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8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8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8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8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8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8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8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8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8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8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8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8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8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8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8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8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8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8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8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8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8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8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8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8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8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8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8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8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8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8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8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8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8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8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8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8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8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8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8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8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8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8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8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8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8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8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8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8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8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8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8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8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8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8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8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8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8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8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8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8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8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8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8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8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8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8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8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8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8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8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8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8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8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8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8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8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8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8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8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8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8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8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8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8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8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8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8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8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8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8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8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8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8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8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8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8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8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8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8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8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8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8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8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8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8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8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8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8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8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8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8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8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8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8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8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8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8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8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8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8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8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8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8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8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8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8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8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8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8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8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8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8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8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8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8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8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8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8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8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8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8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8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8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8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8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8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8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8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8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8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8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8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8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8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8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8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8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8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8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8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8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8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8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8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8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8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8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8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8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8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8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8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8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8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8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8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8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8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8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8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8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8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8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8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8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8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8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8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8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8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8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8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8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8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8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8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8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8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8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8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8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8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8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8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8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8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8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8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8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8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8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8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8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8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8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8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8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8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8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8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8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8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8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8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8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8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8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8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8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8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8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8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8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8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8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8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8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8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8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8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8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8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8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8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8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8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8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8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8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8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8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8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8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8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8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8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8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8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8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8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8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8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8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8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8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8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8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8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8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8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8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8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8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8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8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8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8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8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8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8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8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8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8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8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8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8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8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8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8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8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8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8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8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8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8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8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8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8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8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8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8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8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8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8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8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8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8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8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8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8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8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8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8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8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8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8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8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8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8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8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8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8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8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8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8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8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8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8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8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8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8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8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8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8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8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8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8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8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8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8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8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8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8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8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8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8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8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8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8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8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8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8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8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8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8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8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8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8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8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8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8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8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8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8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8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8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8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8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8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8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8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8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8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8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8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8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8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8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8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8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8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8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8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8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8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8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8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8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8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8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8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8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8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8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8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8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8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8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8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8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8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8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8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8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8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8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8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8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8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8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8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8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8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8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8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8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8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8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8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8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8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8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8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8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8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8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8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8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8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8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8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8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8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8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8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8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8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8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8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8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8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8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8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8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8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8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8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8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8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8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8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8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8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8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8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8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8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8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8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8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8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8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8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8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8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8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8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8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8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8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8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8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8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8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8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8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8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8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8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8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8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8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8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8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8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8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8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8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8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8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8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8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8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8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8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8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8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8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8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8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8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8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8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8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8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8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8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8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8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8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8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8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8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8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8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8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8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8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8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8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8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8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8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8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8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8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8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8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8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8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8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8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8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8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8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8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8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8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8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8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8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8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8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8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8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8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8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8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8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8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8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8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8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8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8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8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8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8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8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8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8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8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8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8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8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8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8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8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8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8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8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8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8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8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8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8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8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8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8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8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8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8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8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8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8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8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8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8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8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8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8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8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8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8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8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8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8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8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8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8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8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8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8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8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8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8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8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8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8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8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8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8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8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8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8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8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8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8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8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8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8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8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8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8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8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8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8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8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8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8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8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8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8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8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8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8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8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8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8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8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8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8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8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8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8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8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8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8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8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8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8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8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8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8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8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8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8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8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8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8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8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8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8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8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8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8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8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8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8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8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8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8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8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8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8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8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8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8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8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8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8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8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8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8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8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8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8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8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8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8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8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8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8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8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8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8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8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8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12"/>
      <c r="D1007" s="18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12"/>
      <c r="D1008" s="18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12"/>
      <c r="D1009" s="18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12"/>
      <c r="D1010" s="18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12"/>
      <c r="D1011" s="18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12"/>
      <c r="D1012" s="18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12"/>
      <c r="D1013" s="18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12"/>
      <c r="D1014" s="18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12"/>
      <c r="D1015" s="18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12"/>
      <c r="D1016" s="18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2"/>
      <c r="B1017" s="12"/>
      <c r="C1017" s="12"/>
      <c r="D1017" s="18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2"/>
      <c r="B1018" s="12"/>
      <c r="C1018" s="12"/>
      <c r="D1018" s="18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2"/>
      <c r="B1019" s="12"/>
      <c r="C1019" s="12"/>
      <c r="D1019" s="18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2"/>
      <c r="B1020" s="12"/>
      <c r="C1020" s="12"/>
      <c r="D1020" s="18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2"/>
      <c r="B1021" s="12"/>
      <c r="C1021" s="12"/>
      <c r="D1021" s="18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2"/>
      <c r="B1022" s="12"/>
      <c r="C1022" s="12"/>
      <c r="D1022" s="18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2"/>
      <c r="B1023" s="12"/>
      <c r="C1023" s="12"/>
      <c r="D1023" s="18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2"/>
      <c r="B1024" s="12"/>
      <c r="C1024" s="12"/>
      <c r="D1024" s="18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2"/>
      <c r="B1025" s="12"/>
      <c r="C1025" s="12"/>
      <c r="D1025" s="18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2"/>
      <c r="B1026" s="12"/>
      <c r="C1026" s="12"/>
      <c r="D1026" s="18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2"/>
      <c r="B1027" s="12"/>
      <c r="C1027" s="12"/>
      <c r="D1027" s="18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2"/>
      <c r="B1028" s="12"/>
      <c r="C1028" s="12"/>
      <c r="D1028" s="18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2"/>
      <c r="B1029" s="12"/>
      <c r="C1029" s="12"/>
      <c r="D1029" s="18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</sheetData>
  <mergeCells count="3">
    <mergeCell ref="A1:B1"/>
    <mergeCell ref="C1:D1"/>
    <mergeCell ref="G1:H1"/>
  </mergeCells>
  <dataValidations>
    <dataValidation type="list" allowBlank="1" sqref="E7:E74">
      <formula1>"PAYMENT,DINE IN,TAKEOUT,DELIVERY,COFFEE,GROCERIES,INTERNET,MOBILE,PRIME VIDEO,HEALTH,CANNABIS,ALCOHOL,GAS,PARKING,NEWSPAPER,CLOTHES,TECHNOLOGY,FURNITURE,CHARITY,ENTERTAINMENT,CATS,HOTELS,TRANSPORTATION,HOUSEHOLD,GIFTS,FLIGHTS,PARAMOUNT"</formula1>
    </dataValidation>
  </dataValidation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3" t="s">
        <v>108</v>
      </c>
      <c r="B1" s="10" t="s">
        <v>14</v>
      </c>
    </row>
    <row r="2">
      <c r="A2" s="3"/>
      <c r="B2" s="47"/>
      <c r="D2" s="47"/>
    </row>
    <row r="3">
      <c r="A3" s="3" t="s">
        <v>109</v>
      </c>
      <c r="B3" s="47"/>
      <c r="D3" s="47"/>
    </row>
    <row r="4">
      <c r="A4" s="10" t="s">
        <v>110</v>
      </c>
      <c r="B4" s="13">
        <v>0.0</v>
      </c>
      <c r="C4" s="48"/>
    </row>
    <row r="5">
      <c r="A5" s="10" t="s">
        <v>17</v>
      </c>
      <c r="B5" s="28">
        <f>3111.28*2</f>
        <v>6222.56</v>
      </c>
      <c r="C5" s="48">
        <f>B5/B7</f>
        <v>0.6049213731</v>
      </c>
    </row>
    <row r="6">
      <c r="A6" s="10" t="s">
        <v>23</v>
      </c>
      <c r="B6" s="28">
        <f>2032*2</f>
        <v>4064</v>
      </c>
      <c r="C6" s="48">
        <f>B6/B7</f>
        <v>0.3950786269</v>
      </c>
    </row>
    <row r="7">
      <c r="A7" s="10" t="s">
        <v>111</v>
      </c>
      <c r="B7" s="14">
        <f>SUM(B5:B6)</f>
        <v>10286.56</v>
      </c>
    </row>
    <row r="9">
      <c r="A9" s="3" t="s">
        <v>112</v>
      </c>
      <c r="C9" s="10" t="s">
        <v>17</v>
      </c>
      <c r="D9" s="10" t="s">
        <v>23</v>
      </c>
    </row>
    <row r="10">
      <c r="A10" s="10" t="s">
        <v>113</v>
      </c>
      <c r="B10" s="13">
        <v>1711.29</v>
      </c>
      <c r="C10" s="14">
        <f>B10*C5</f>
        <v>1035.195897</v>
      </c>
      <c r="D10" s="14">
        <f>B10*C6</f>
        <v>676.0941034</v>
      </c>
    </row>
    <row r="11">
      <c r="A11" s="10" t="s">
        <v>417</v>
      </c>
      <c r="B11" s="13">
        <v>38.3</v>
      </c>
      <c r="C11" s="14">
        <f>B11*C5</f>
        <v>23.16848859</v>
      </c>
      <c r="D11" s="14">
        <f>B11*C6</f>
        <v>15.13151141</v>
      </c>
    </row>
    <row r="12">
      <c r="A12" s="10" t="s">
        <v>115</v>
      </c>
      <c r="B12" s="13">
        <f>154.29</f>
        <v>154.29</v>
      </c>
      <c r="C12" s="14">
        <f>B12*C5</f>
        <v>93.33331866</v>
      </c>
      <c r="D12" s="14">
        <f>B12*C6</f>
        <v>60.95668134</v>
      </c>
    </row>
    <row r="13">
      <c r="A13" s="10" t="s">
        <v>116</v>
      </c>
      <c r="B13" s="13">
        <f>93.51</f>
        <v>93.51</v>
      </c>
      <c r="C13" s="14">
        <f>B13*C5</f>
        <v>56.5661976</v>
      </c>
      <c r="D13" s="14">
        <f>B13*C6</f>
        <v>36.9438024</v>
      </c>
    </row>
    <row r="14">
      <c r="A14" s="10" t="s">
        <v>117</v>
      </c>
      <c r="B14" s="13">
        <v>138.83</v>
      </c>
      <c r="C14" s="14">
        <f>B14*C5</f>
        <v>83.98123423</v>
      </c>
      <c r="D14" s="14">
        <f>B14*C6</f>
        <v>54.84876577</v>
      </c>
    </row>
    <row r="15">
      <c r="A15" s="10" t="s">
        <v>118</v>
      </c>
      <c r="B15" s="13">
        <v>200.0</v>
      </c>
      <c r="C15" s="14">
        <f>B15*C5</f>
        <v>120.9842746</v>
      </c>
      <c r="D15" s="14">
        <f>B15*C6</f>
        <v>79.01572537</v>
      </c>
    </row>
    <row r="16">
      <c r="A16" s="10" t="s">
        <v>119</v>
      </c>
      <c r="B16" s="14">
        <v>44.69</v>
      </c>
      <c r="C16" s="14">
        <f>B16*C5</f>
        <v>27.03393617</v>
      </c>
      <c r="D16" s="14">
        <f>B16*C6</f>
        <v>17.65606383</v>
      </c>
    </row>
    <row r="17">
      <c r="A17" s="10" t="s">
        <v>120</v>
      </c>
      <c r="B17" s="14">
        <v>301.77</v>
      </c>
      <c r="C17" s="14">
        <f>B17*C5</f>
        <v>182.5471228</v>
      </c>
      <c r="D17" s="14">
        <f>B17*C6</f>
        <v>119.2228772</v>
      </c>
    </row>
    <row r="18">
      <c r="B18" s="14"/>
      <c r="C18" s="14"/>
      <c r="D18" s="14"/>
    </row>
    <row r="19">
      <c r="A19" s="3" t="s">
        <v>122</v>
      </c>
      <c r="B19" s="13"/>
      <c r="C19" s="13"/>
      <c r="D19" s="14"/>
    </row>
    <row r="20">
      <c r="B20" s="14">
        <f>B7*0.25</f>
        <v>2571.64</v>
      </c>
      <c r="C20" s="14">
        <f>B20*C5</f>
        <v>1555.64</v>
      </c>
      <c r="D20" s="14">
        <f>B20*C6</f>
        <v>1016</v>
      </c>
    </row>
    <row r="21">
      <c r="A21" s="10"/>
    </row>
    <row r="22">
      <c r="A22" s="10" t="s">
        <v>124</v>
      </c>
      <c r="B22" s="14">
        <f t="shared" ref="B22:D22" si="1">SUM(B10:B20)</f>
        <v>5254.32</v>
      </c>
      <c r="C22" s="14">
        <f t="shared" si="1"/>
        <v>3178.450469</v>
      </c>
      <c r="D22" s="14">
        <f t="shared" si="1"/>
        <v>2075.869531</v>
      </c>
    </row>
    <row r="23">
      <c r="A23" s="10"/>
    </row>
    <row r="24">
      <c r="A24" s="10" t="s">
        <v>454</v>
      </c>
      <c r="C24" s="14">
        <f>B5-C22</f>
        <v>3044.109531</v>
      </c>
      <c r="D24" s="14">
        <f>B6-D22</f>
        <v>1988.130469</v>
      </c>
    </row>
    <row r="25">
      <c r="A25" s="47">
        <v>45245.0</v>
      </c>
      <c r="C25" s="13">
        <f t="shared" ref="C25:D25" si="2">C24/2</f>
        <v>1522.054765</v>
      </c>
      <c r="D25" s="14">
        <f t="shared" si="2"/>
        <v>994.0652346</v>
      </c>
    </row>
    <row r="26">
      <c r="A26" s="47">
        <v>45260.0</v>
      </c>
      <c r="C26" s="13">
        <f t="shared" ref="C26:D26" si="3">C24/2</f>
        <v>1522.054765</v>
      </c>
      <c r="D26" s="13">
        <f t="shared" si="3"/>
        <v>994.0652346</v>
      </c>
    </row>
    <row r="29">
      <c r="A29" s="49"/>
      <c r="B29" s="49"/>
      <c r="C29" s="49"/>
      <c r="D29" s="49"/>
    </row>
    <row r="30">
      <c r="A30" s="3" t="s">
        <v>126</v>
      </c>
      <c r="C30" s="10" t="s">
        <v>128</v>
      </c>
    </row>
    <row r="31">
      <c r="A31" s="10" t="s">
        <v>130</v>
      </c>
      <c r="B31" s="13"/>
      <c r="C31" s="10" t="s">
        <v>132</v>
      </c>
    </row>
    <row r="32">
      <c r="A32" s="10" t="s">
        <v>131</v>
      </c>
      <c r="B32" s="13"/>
      <c r="C32" s="10" t="s">
        <v>132</v>
      </c>
    </row>
    <row r="33">
      <c r="A33" s="10" t="s">
        <v>418</v>
      </c>
      <c r="B33" s="72"/>
      <c r="C33" s="10" t="s">
        <v>132</v>
      </c>
    </row>
    <row r="34">
      <c r="A34" s="10"/>
    </row>
    <row r="35">
      <c r="B35" s="14"/>
      <c r="C35" s="14"/>
      <c r="D3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134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>
      <c r="A2" s="36" t="s">
        <v>136</v>
      </c>
      <c r="B2" s="37">
        <v>45223.0</v>
      </c>
      <c r="C2" s="36"/>
      <c r="D2" s="18"/>
      <c r="E2" s="38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>
      <c r="A3" s="36" t="s">
        <v>137</v>
      </c>
      <c r="B3" s="26"/>
      <c r="C3" s="36"/>
      <c r="D3" s="18"/>
      <c r="E3" s="3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>
      <c r="A4" s="36" t="s">
        <v>138</v>
      </c>
      <c r="B4" s="39">
        <v>45253.0</v>
      </c>
      <c r="C4" s="36"/>
      <c r="D4" s="18"/>
      <c r="E4" s="40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12"/>
      <c r="B5" s="12"/>
      <c r="C5" s="18"/>
      <c r="D5" s="18"/>
      <c r="E5" s="12"/>
      <c r="F5" s="12"/>
      <c r="G5" s="12"/>
      <c r="H5" s="12"/>
      <c r="I5" s="12" t="s">
        <v>67</v>
      </c>
      <c r="J5" s="12" t="s">
        <v>142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12"/>
      <c r="B6" s="12" t="s">
        <v>139</v>
      </c>
      <c r="C6" s="19" t="s">
        <v>140</v>
      </c>
      <c r="D6" s="18" t="s">
        <v>141</v>
      </c>
      <c r="E6" s="12" t="s">
        <v>67</v>
      </c>
      <c r="F6" s="12"/>
      <c r="G6" s="12"/>
      <c r="H6" s="12"/>
      <c r="I6" s="12" t="s">
        <v>82</v>
      </c>
      <c r="J6" s="18">
        <v>0.0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2"/>
      <c r="B7" s="16"/>
      <c r="C7" s="41"/>
      <c r="D7" s="17"/>
      <c r="E7" s="42" t="s">
        <v>98</v>
      </c>
      <c r="F7" s="12"/>
      <c r="G7" s="12"/>
      <c r="H7" s="12"/>
      <c r="I7" s="12" t="s">
        <v>83</v>
      </c>
      <c r="J7" s="12">
        <v>0.0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2"/>
      <c r="B8" s="16"/>
      <c r="C8" s="41"/>
      <c r="D8" s="17"/>
      <c r="E8" s="42" t="s">
        <v>100</v>
      </c>
      <c r="F8" s="43"/>
      <c r="G8" s="12"/>
      <c r="H8" s="12"/>
      <c r="I8" s="12" t="s">
        <v>85</v>
      </c>
      <c r="J8" s="18">
        <v>0.0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2"/>
      <c r="B9" s="16"/>
      <c r="C9" s="41"/>
      <c r="D9" s="17"/>
      <c r="E9" s="42" t="s">
        <v>96</v>
      </c>
      <c r="F9" s="43"/>
      <c r="G9" s="44"/>
      <c r="H9" s="45"/>
      <c r="I9" s="12" t="s">
        <v>87</v>
      </c>
      <c r="J9" s="12">
        <v>0.0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2"/>
      <c r="B10" s="16"/>
      <c r="C10" s="41"/>
      <c r="D10" s="17"/>
      <c r="E10" s="42" t="s">
        <v>99</v>
      </c>
      <c r="F10" s="43"/>
      <c r="G10" s="12"/>
      <c r="H10" s="12"/>
      <c r="I10" s="12" t="s">
        <v>89</v>
      </c>
      <c r="J10" s="18">
        <v>0.0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2"/>
      <c r="B11" s="16"/>
      <c r="C11" s="41"/>
      <c r="D11" s="17"/>
      <c r="E11" s="42" t="s">
        <v>82</v>
      </c>
      <c r="F11" s="43"/>
      <c r="G11" s="12"/>
      <c r="H11" s="12"/>
      <c r="I11" s="12" t="s">
        <v>90</v>
      </c>
      <c r="J11" s="12">
        <v>0.0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2"/>
      <c r="B12" s="16"/>
      <c r="C12" s="41"/>
      <c r="D12" s="17"/>
      <c r="E12" s="42" t="s">
        <v>98</v>
      </c>
      <c r="F12" s="43"/>
      <c r="G12" s="12"/>
      <c r="H12" s="12"/>
      <c r="I12" s="12" t="s">
        <v>93</v>
      </c>
      <c r="J12" s="12">
        <v>0.0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2"/>
      <c r="B13" s="11"/>
      <c r="C13" s="41"/>
      <c r="D13" s="17"/>
      <c r="E13" s="42" t="s">
        <v>103</v>
      </c>
      <c r="F13" s="43"/>
      <c r="G13" s="12"/>
      <c r="H13" s="12"/>
      <c r="I13" s="12" t="s">
        <v>94</v>
      </c>
      <c r="J13" s="12">
        <v>0.0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2"/>
      <c r="B14" s="16"/>
      <c r="C14" s="41"/>
      <c r="D14" s="17"/>
      <c r="E14" s="42" t="s">
        <v>98</v>
      </c>
      <c r="F14" s="43"/>
      <c r="G14" s="12"/>
      <c r="H14" s="12"/>
      <c r="I14" s="12" t="s">
        <v>95</v>
      </c>
      <c r="J14" s="18">
        <v>0.0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2"/>
      <c r="B15" s="16"/>
      <c r="C15" s="41"/>
      <c r="D15" s="17"/>
      <c r="E15" s="42" t="s">
        <v>106</v>
      </c>
      <c r="F15" s="43"/>
      <c r="G15" s="12"/>
      <c r="H15" s="12"/>
      <c r="I15" s="12" t="s">
        <v>96</v>
      </c>
      <c r="J15" s="18">
        <v>0.0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2"/>
      <c r="B16" s="16"/>
      <c r="C16" s="41"/>
      <c r="D16" s="17"/>
      <c r="E16" s="42" t="s">
        <v>153</v>
      </c>
      <c r="F16" s="43"/>
      <c r="G16" s="12"/>
      <c r="H16" s="12"/>
      <c r="I16" s="12" t="s">
        <v>98</v>
      </c>
      <c r="J16" s="18">
        <v>0.0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2"/>
      <c r="B17" s="16"/>
      <c r="C17" s="41"/>
      <c r="D17" s="17"/>
      <c r="E17" s="42" t="s">
        <v>104</v>
      </c>
      <c r="F17" s="43"/>
      <c r="G17" s="12"/>
      <c r="H17" s="12"/>
      <c r="I17" s="12" t="s">
        <v>99</v>
      </c>
      <c r="J17" s="18">
        <v>0.0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2"/>
      <c r="B18" s="12"/>
      <c r="C18" s="41"/>
      <c r="D18" s="17"/>
      <c r="E18" s="42" t="s">
        <v>98</v>
      </c>
      <c r="F18" s="43"/>
      <c r="G18" s="12"/>
      <c r="H18" s="12"/>
      <c r="I18" s="12" t="s">
        <v>100</v>
      </c>
      <c r="J18" s="18">
        <v>0.0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2"/>
      <c r="B19" s="12"/>
      <c r="C19" s="41"/>
      <c r="D19" s="17"/>
      <c r="E19" s="42" t="s">
        <v>96</v>
      </c>
      <c r="F19" s="43"/>
      <c r="G19" s="12"/>
      <c r="H19" s="12"/>
      <c r="I19" s="12" t="s">
        <v>101</v>
      </c>
      <c r="J19" s="18">
        <v>0.0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2"/>
      <c r="B20" s="12"/>
      <c r="C20" s="46"/>
      <c r="D20" s="17"/>
      <c r="E20" s="42" t="s">
        <v>105</v>
      </c>
      <c r="F20" s="43"/>
      <c r="G20" s="12"/>
      <c r="H20" s="12"/>
      <c r="I20" s="12" t="s">
        <v>153</v>
      </c>
      <c r="J20" s="18">
        <v>0.0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2"/>
      <c r="B21" s="12"/>
      <c r="C21" s="46"/>
      <c r="D21" s="17"/>
      <c r="E21" s="42" t="s">
        <v>96</v>
      </c>
      <c r="F21" s="43"/>
      <c r="G21" s="12"/>
      <c r="H21" s="12"/>
      <c r="I21" s="12" t="s">
        <v>103</v>
      </c>
      <c r="J21" s="18">
        <v>0.0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2"/>
      <c r="B22" s="11"/>
      <c r="C22" s="46"/>
      <c r="D22" s="17"/>
      <c r="E22" s="42" t="s">
        <v>103</v>
      </c>
      <c r="F22" s="43"/>
      <c r="G22" s="12"/>
      <c r="H22" s="12"/>
      <c r="I22" s="12" t="s">
        <v>104</v>
      </c>
      <c r="J22" s="18">
        <v>0.0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2"/>
      <c r="B23" s="12"/>
      <c r="C23" s="46"/>
      <c r="D23" s="17"/>
      <c r="E23" s="42" t="s">
        <v>105</v>
      </c>
      <c r="F23" s="43"/>
      <c r="G23" s="12"/>
      <c r="H23" s="12"/>
      <c r="I23" s="12" t="s">
        <v>455</v>
      </c>
      <c r="J23" s="18">
        <v>0.0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2"/>
      <c r="B24" s="12"/>
      <c r="C24" s="46"/>
      <c r="D24" s="17"/>
      <c r="E24" s="42" t="s">
        <v>107</v>
      </c>
      <c r="F24" s="43"/>
      <c r="G24" s="12"/>
      <c r="H24" s="12"/>
      <c r="I24" s="12" t="s">
        <v>105</v>
      </c>
      <c r="J24" s="18">
        <v>0.0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2"/>
      <c r="B25" s="12"/>
      <c r="C25" s="46"/>
      <c r="D25" s="17"/>
      <c r="E25" s="42" t="s">
        <v>82</v>
      </c>
      <c r="F25" s="43"/>
      <c r="G25" s="12"/>
      <c r="H25" s="12"/>
      <c r="I25" s="12" t="s">
        <v>106</v>
      </c>
      <c r="J25" s="18">
        <v>0.0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2"/>
      <c r="B26" s="12"/>
      <c r="C26" s="46"/>
      <c r="D26" s="17"/>
      <c r="E26" s="42" t="s">
        <v>104</v>
      </c>
      <c r="F26" s="43"/>
      <c r="G26" s="12"/>
      <c r="H26" s="12"/>
      <c r="I26" s="12" t="s">
        <v>107</v>
      </c>
      <c r="J26" s="18">
        <v>0.0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2"/>
      <c r="B27" s="12"/>
      <c r="C27" s="46"/>
      <c r="D27" s="17"/>
      <c r="E27" s="42" t="s">
        <v>101</v>
      </c>
      <c r="F27" s="43"/>
      <c r="G27" s="12"/>
      <c r="H27" s="12"/>
      <c r="I27" s="12" t="s">
        <v>167</v>
      </c>
      <c r="J27" s="18">
        <v>0.0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2"/>
      <c r="B28" s="12"/>
      <c r="C28" s="46"/>
      <c r="D28" s="17"/>
      <c r="E28" s="42" t="s">
        <v>85</v>
      </c>
      <c r="F28" s="43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2"/>
      <c r="B29" s="12"/>
      <c r="C29" s="46"/>
      <c r="D29" s="17"/>
      <c r="E29" s="42" t="s">
        <v>107</v>
      </c>
      <c r="F29" s="43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2"/>
      <c r="B30" s="12"/>
      <c r="C30" s="41"/>
      <c r="D30" s="17"/>
      <c r="E30" s="42" t="s">
        <v>106</v>
      </c>
      <c r="F30" s="4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2"/>
      <c r="B31" s="12"/>
      <c r="C31" s="41"/>
      <c r="D31" s="17"/>
      <c r="E31" s="42" t="s">
        <v>106</v>
      </c>
      <c r="F31" s="4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2"/>
      <c r="B32" s="12"/>
      <c r="C32" s="41"/>
      <c r="D32" s="17"/>
      <c r="E32" s="42" t="s">
        <v>107</v>
      </c>
      <c r="F32" s="4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2"/>
      <c r="B33" s="12"/>
      <c r="C33" s="41"/>
      <c r="D33" s="17"/>
      <c r="E33" s="42" t="s">
        <v>104</v>
      </c>
      <c r="F33" s="4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2"/>
      <c r="B34" s="12"/>
      <c r="C34" s="41"/>
      <c r="D34" s="17"/>
      <c r="E34" s="42" t="s">
        <v>96</v>
      </c>
      <c r="F34" s="4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2"/>
      <c r="B35" s="12"/>
      <c r="C35" s="41"/>
      <c r="D35" s="17"/>
      <c r="E35" s="42" t="s">
        <v>95</v>
      </c>
      <c r="F35" s="4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2"/>
      <c r="B36" s="12"/>
      <c r="C36" s="41"/>
      <c r="D36" s="17"/>
      <c r="E36" s="42" t="s">
        <v>85</v>
      </c>
      <c r="F36" s="4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2"/>
      <c r="B37" s="12"/>
      <c r="C37" s="41"/>
      <c r="D37" s="17"/>
      <c r="E37" s="42" t="s">
        <v>95</v>
      </c>
      <c r="F37" s="4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2"/>
      <c r="B38" s="12"/>
      <c r="C38" s="41"/>
      <c r="D38" s="17"/>
      <c r="E38" s="42" t="s">
        <v>95</v>
      </c>
      <c r="F38" s="4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2"/>
      <c r="B39" s="12"/>
      <c r="C39" s="41"/>
      <c r="D39" s="17"/>
      <c r="E39" s="42" t="s">
        <v>455</v>
      </c>
      <c r="F39" s="4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2"/>
      <c r="B40" s="12"/>
      <c r="C40" s="41"/>
      <c r="D40" s="17"/>
      <c r="E40" s="42" t="s">
        <v>98</v>
      </c>
      <c r="F40" s="4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2"/>
      <c r="B41" s="12"/>
      <c r="C41" s="41"/>
      <c r="D41" s="17"/>
      <c r="E41" s="42" t="s">
        <v>89</v>
      </c>
      <c r="F41" s="4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2"/>
      <c r="B42" s="12"/>
      <c r="C42" s="41"/>
      <c r="D42" s="17"/>
      <c r="E42" s="42" t="s">
        <v>106</v>
      </c>
      <c r="F42" s="4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2"/>
      <c r="B43" s="12"/>
      <c r="C43" s="41"/>
      <c r="D43" s="17"/>
      <c r="E43" s="42" t="s">
        <v>105</v>
      </c>
      <c r="F43" s="4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2"/>
      <c r="B44" s="12"/>
      <c r="C44" s="41"/>
      <c r="D44" s="17"/>
      <c r="E44" s="42" t="s">
        <v>103</v>
      </c>
      <c r="F44" s="4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2"/>
      <c r="B45" s="12"/>
      <c r="C45" s="41"/>
      <c r="D45" s="45"/>
      <c r="E45" s="42" t="s">
        <v>95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2"/>
      <c r="B46" s="12"/>
      <c r="C46" s="41"/>
      <c r="D46" s="45"/>
      <c r="E46" s="42" t="s">
        <v>455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2"/>
      <c r="B47" s="12"/>
      <c r="C47" s="41"/>
      <c r="D47" s="45"/>
      <c r="E47" s="42" t="s">
        <v>105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2"/>
      <c r="B48" s="12"/>
      <c r="C48" s="41"/>
      <c r="D48" s="45"/>
      <c r="E48" s="42" t="s">
        <v>93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2"/>
      <c r="B49" s="12"/>
      <c r="C49" s="41"/>
      <c r="D49" s="45"/>
      <c r="E49" s="42" t="s">
        <v>82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2"/>
      <c r="B50" s="12"/>
      <c r="C50" s="41"/>
      <c r="D50" s="45"/>
      <c r="E50" s="42" t="s">
        <v>106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2"/>
      <c r="B51" s="12"/>
      <c r="C51" s="41"/>
      <c r="D51" s="45"/>
      <c r="E51" s="42" t="s">
        <v>90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2"/>
      <c r="B52" s="12"/>
      <c r="C52" s="41"/>
      <c r="D52" s="45"/>
      <c r="E52" s="42" t="s">
        <v>98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2"/>
      <c r="B53" s="12"/>
      <c r="C53" s="41"/>
      <c r="D53" s="45"/>
      <c r="E53" s="42" t="s">
        <v>106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2"/>
      <c r="B54" s="12"/>
      <c r="C54" s="41"/>
      <c r="D54" s="45"/>
      <c r="E54" s="42" t="s">
        <v>83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2"/>
      <c r="B55" s="12"/>
      <c r="C55" s="41"/>
      <c r="D55" s="45"/>
      <c r="E55" s="42" t="s">
        <v>89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2"/>
      <c r="B56" s="12"/>
      <c r="C56" s="41"/>
      <c r="D56" s="45"/>
      <c r="E56" s="42" t="s">
        <v>83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2"/>
      <c r="B57" s="12"/>
      <c r="C57" s="41"/>
      <c r="D57" s="45"/>
      <c r="E57" s="42" t="s">
        <v>105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2"/>
      <c r="B58" s="12"/>
      <c r="C58" s="41"/>
      <c r="D58" s="45"/>
      <c r="E58" s="42" t="s">
        <v>105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2"/>
      <c r="B59" s="12"/>
      <c r="C59" s="41"/>
      <c r="D59" s="45"/>
      <c r="E59" s="42" t="s">
        <v>105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2"/>
      <c r="B60" s="12"/>
      <c r="C60" s="41"/>
      <c r="D60" s="45"/>
      <c r="E60" s="42" t="s">
        <v>105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2"/>
      <c r="B61" s="12"/>
      <c r="C61" s="41"/>
      <c r="D61" s="45"/>
      <c r="E61" s="42" t="s">
        <v>94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1"/>
      <c r="B62" s="12"/>
      <c r="C62" s="41"/>
      <c r="D62" s="45"/>
      <c r="E62" s="42" t="s">
        <v>94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2"/>
      <c r="B63" s="12"/>
      <c r="C63" s="41"/>
      <c r="D63" s="45"/>
      <c r="E63" s="42" t="s">
        <v>94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2"/>
      <c r="B64" s="12"/>
      <c r="C64" s="46"/>
      <c r="D64" s="45"/>
      <c r="E64" s="42" t="s">
        <v>105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2"/>
      <c r="B65" s="12"/>
      <c r="C65" s="46"/>
      <c r="D65" s="45"/>
      <c r="E65" s="42" t="s">
        <v>87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2"/>
      <c r="B66" s="12"/>
      <c r="C66" s="46"/>
      <c r="D66" s="45"/>
      <c r="E66" s="42" t="s">
        <v>153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2"/>
      <c r="B67" s="12"/>
      <c r="C67" s="46"/>
      <c r="D67" s="45"/>
      <c r="E67" s="42" t="s">
        <v>105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12"/>
      <c r="B68" s="12"/>
      <c r="C68" s="46"/>
      <c r="D68" s="45"/>
      <c r="E68" s="42" t="s">
        <v>82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12"/>
      <c r="B69" s="12"/>
      <c r="C69" s="41"/>
      <c r="D69" s="45"/>
      <c r="E69" s="42" t="s">
        <v>105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12"/>
      <c r="B70" s="12"/>
      <c r="C70" s="41"/>
      <c r="D70" s="45"/>
      <c r="E70" s="42" t="s">
        <v>153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>
      <c r="A71" s="12"/>
      <c r="B71" s="12"/>
      <c r="C71" s="41"/>
      <c r="D71" s="45"/>
      <c r="E71" s="42" t="s">
        <v>89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>
      <c r="A72" s="12"/>
      <c r="B72" s="12"/>
      <c r="C72" s="41"/>
      <c r="D72" s="45"/>
      <c r="E72" s="42" t="s">
        <v>95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12"/>
      <c r="B73" s="12"/>
      <c r="C73" s="41"/>
      <c r="D73" s="45"/>
      <c r="E73" s="42" t="s">
        <v>105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>
      <c r="A74" s="12"/>
      <c r="B74" s="12"/>
      <c r="C74" s="41"/>
      <c r="D74" s="45"/>
      <c r="E74" s="42" t="s">
        <v>105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</row>
    <row r="103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</row>
    <row r="103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</row>
    <row r="103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</row>
    <row r="103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</row>
    <row r="1034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</row>
    <row r="1035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</row>
    <row r="1036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</row>
    <row r="1037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</row>
    <row r="1038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</row>
    <row r="1039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</row>
    <row r="1040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</row>
    <row r="104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</row>
    <row r="1042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</row>
    <row r="1043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</row>
    <row r="1044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</row>
    <row r="1045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</row>
    <row r="1046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</row>
    <row r="1047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</row>
    <row r="1048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</row>
    <row r="1049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</row>
    <row r="1050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</row>
    <row r="105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</row>
    <row r="1052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</row>
    <row r="1053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</row>
  </sheetData>
  <mergeCells count="2">
    <mergeCell ref="A1:B1"/>
    <mergeCell ref="C1:D1"/>
  </mergeCells>
  <dataValidations>
    <dataValidation type="list" allowBlank="1" sqref="E7:E74">
      <formula1>"PAYMENT,DINE IN,TAKEOUT,DELIVERY,COFFEE,GROCERIES,INTERNET,MOBILE,PRIME VIDEO,HEALTH,CANNABIS,ALCOHOL,GAS,PARKING,NEWSPAPER,CLOTHES,TECHNOLOGY,FURNITURE,CHARITY,ENTERTAINMENT,CATS,HOTELS,TRANSPORTATION,HOUSEHOLD,GIFTS,FLIGHTS,PARAMOUNT,SUBSCRIPTION SERVIC"&amp;"ES"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3" t="s">
        <v>108</v>
      </c>
      <c r="B1" s="10" t="s">
        <v>15</v>
      </c>
    </row>
    <row r="2">
      <c r="A2" s="3"/>
      <c r="B2" s="47"/>
      <c r="D2" s="47"/>
    </row>
    <row r="3">
      <c r="A3" s="3" t="s">
        <v>109</v>
      </c>
      <c r="B3" s="47"/>
      <c r="D3" s="47"/>
    </row>
    <row r="4">
      <c r="A4" s="10" t="s">
        <v>110</v>
      </c>
      <c r="B4" s="13">
        <v>0.0</v>
      </c>
      <c r="C4" s="48"/>
    </row>
    <row r="5">
      <c r="A5" s="10" t="s">
        <v>17</v>
      </c>
      <c r="B5" s="28">
        <f>3111.28*2</f>
        <v>6222.56</v>
      </c>
      <c r="C5" s="48">
        <f>B5/B7</f>
        <v>0.6049213731</v>
      </c>
    </row>
    <row r="6">
      <c r="A6" s="10" t="s">
        <v>23</v>
      </c>
      <c r="B6" s="28">
        <f>2032*2</f>
        <v>4064</v>
      </c>
      <c r="C6" s="48">
        <f>B6/B7</f>
        <v>0.3950786269</v>
      </c>
    </row>
    <row r="7">
      <c r="A7" s="10" t="s">
        <v>111</v>
      </c>
      <c r="B7" s="14">
        <f>SUM(B5:B6)</f>
        <v>10286.56</v>
      </c>
    </row>
    <row r="9">
      <c r="A9" s="3" t="s">
        <v>112</v>
      </c>
      <c r="C9" s="10" t="s">
        <v>17</v>
      </c>
      <c r="D9" s="10" t="s">
        <v>23</v>
      </c>
    </row>
    <row r="10">
      <c r="A10" s="10" t="s">
        <v>113</v>
      </c>
      <c r="B10" s="13">
        <v>1711.29</v>
      </c>
      <c r="C10" s="14">
        <f>B10*C5</f>
        <v>1035.195897</v>
      </c>
      <c r="D10" s="14">
        <f>B10*C6</f>
        <v>676.0941034</v>
      </c>
    </row>
    <row r="11">
      <c r="A11" s="10" t="s">
        <v>417</v>
      </c>
      <c r="B11" s="13">
        <v>116.14</v>
      </c>
      <c r="C11" s="14">
        <f>B11*C5</f>
        <v>70.25556828</v>
      </c>
      <c r="D11" s="14">
        <f>B11*C6</f>
        <v>45.88443172</v>
      </c>
    </row>
    <row r="12">
      <c r="A12" s="10" t="s">
        <v>115</v>
      </c>
      <c r="B12" s="13">
        <f>154.29</f>
        <v>154.29</v>
      </c>
      <c r="C12" s="14">
        <f>B12*C5</f>
        <v>93.33331866</v>
      </c>
      <c r="D12" s="14">
        <f>B12*C6</f>
        <v>60.95668134</v>
      </c>
    </row>
    <row r="13">
      <c r="A13" s="10" t="s">
        <v>116</v>
      </c>
      <c r="B13" s="13">
        <f>93.51</f>
        <v>93.51</v>
      </c>
      <c r="C13" s="14">
        <f>B13*C5</f>
        <v>56.5661976</v>
      </c>
      <c r="D13" s="14">
        <f>B13*C6</f>
        <v>36.9438024</v>
      </c>
    </row>
    <row r="14">
      <c r="A14" s="10" t="s">
        <v>117</v>
      </c>
      <c r="B14" s="13">
        <v>138.83</v>
      </c>
      <c r="C14" s="14">
        <f>B14*C5</f>
        <v>83.98123423</v>
      </c>
      <c r="D14" s="14">
        <f>B14*C6</f>
        <v>54.84876577</v>
      </c>
    </row>
    <row r="15">
      <c r="A15" s="10" t="s">
        <v>118</v>
      </c>
      <c r="B15" s="13">
        <v>134.48</v>
      </c>
      <c r="C15" s="14">
        <f>B15*C5</f>
        <v>81.34982626</v>
      </c>
      <c r="D15" s="14">
        <f>B15*C6</f>
        <v>53.13017374</v>
      </c>
    </row>
    <row r="16">
      <c r="A16" s="10" t="s">
        <v>119</v>
      </c>
      <c r="B16" s="58">
        <v>71.22</v>
      </c>
      <c r="C16" s="14">
        <f>B16*C5</f>
        <v>43.08250019</v>
      </c>
      <c r="D16" s="14">
        <f>B16*C6</f>
        <v>28.13749981</v>
      </c>
    </row>
    <row r="17">
      <c r="A17" s="10" t="s">
        <v>120</v>
      </c>
      <c r="B17" s="73">
        <v>205.54</v>
      </c>
      <c r="C17" s="14">
        <f>B17*C5</f>
        <v>124.335539</v>
      </c>
      <c r="D17" s="14">
        <f>B17*C6</f>
        <v>81.20446097</v>
      </c>
    </row>
    <row r="18">
      <c r="B18" s="14"/>
      <c r="C18" s="14"/>
      <c r="D18" s="14"/>
    </row>
    <row r="19">
      <c r="A19" s="3" t="s">
        <v>122</v>
      </c>
      <c r="B19" s="13"/>
      <c r="C19" s="13"/>
      <c r="D19" s="14"/>
    </row>
    <row r="20">
      <c r="B20" s="14">
        <f>B7*0.25</f>
        <v>2571.64</v>
      </c>
      <c r="C20" s="14">
        <f>B20*C5</f>
        <v>1555.64</v>
      </c>
      <c r="D20" s="14">
        <f>B20*C6</f>
        <v>1016</v>
      </c>
    </row>
    <row r="21">
      <c r="A21" s="10"/>
    </row>
    <row r="22">
      <c r="A22" s="10" t="s">
        <v>124</v>
      </c>
      <c r="B22" s="14">
        <f t="shared" ref="B22:D22" si="1">SUM(B10:B20)</f>
        <v>5196.94</v>
      </c>
      <c r="C22" s="14">
        <f t="shared" si="1"/>
        <v>3143.740081</v>
      </c>
      <c r="D22" s="14">
        <f t="shared" si="1"/>
        <v>2053.199919</v>
      </c>
    </row>
    <row r="23">
      <c r="A23" s="10"/>
    </row>
    <row r="24">
      <c r="A24" s="10" t="s">
        <v>125</v>
      </c>
      <c r="C24" s="14">
        <f>B5-C22</f>
        <v>3078.819919</v>
      </c>
      <c r="D24" s="14">
        <f>B6-D22</f>
        <v>2010.800081</v>
      </c>
    </row>
    <row r="25">
      <c r="A25" s="47">
        <v>45184.0</v>
      </c>
      <c r="C25" s="13">
        <f t="shared" ref="C25:D25" si="2">C24/2</f>
        <v>1539.40996</v>
      </c>
      <c r="D25" s="14">
        <f t="shared" si="2"/>
        <v>1005.40004</v>
      </c>
    </row>
    <row r="26">
      <c r="A26" s="47">
        <v>45199.0</v>
      </c>
      <c r="C26" s="13">
        <f t="shared" ref="C26:D26" si="3">C24/2</f>
        <v>1539.40996</v>
      </c>
      <c r="D26" s="13">
        <f t="shared" si="3"/>
        <v>1005.40004</v>
      </c>
    </row>
    <row r="29">
      <c r="A29" s="49"/>
      <c r="B29" s="49"/>
      <c r="C29" s="49"/>
      <c r="D29" s="49"/>
    </row>
    <row r="30">
      <c r="A30" s="3" t="s">
        <v>126</v>
      </c>
      <c r="C30" s="10" t="s">
        <v>128</v>
      </c>
    </row>
    <row r="31">
      <c r="A31" s="10" t="s">
        <v>130</v>
      </c>
      <c r="B31" s="13"/>
    </row>
    <row r="32">
      <c r="A32" s="10" t="s">
        <v>131</v>
      </c>
      <c r="B32" s="13"/>
    </row>
    <row r="33">
      <c r="A33" s="10" t="s">
        <v>418</v>
      </c>
      <c r="B33" s="72"/>
    </row>
    <row r="34">
      <c r="B34" s="14"/>
      <c r="C34" s="14"/>
      <c r="D34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134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>
      <c r="A2" s="36" t="s">
        <v>136</v>
      </c>
      <c r="B2" s="37">
        <v>45254.0</v>
      </c>
      <c r="C2" s="36"/>
      <c r="D2" s="18"/>
      <c r="E2" s="38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>
      <c r="A3" s="36" t="s">
        <v>137</v>
      </c>
      <c r="B3" s="26"/>
      <c r="C3" s="36"/>
      <c r="D3" s="18"/>
      <c r="E3" s="3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>
      <c r="A4" s="36" t="s">
        <v>138</v>
      </c>
      <c r="B4" s="39">
        <v>45283.0</v>
      </c>
      <c r="C4" s="36"/>
      <c r="D4" s="18"/>
      <c r="E4" s="40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12"/>
      <c r="B5" s="12"/>
      <c r="C5" s="18"/>
      <c r="D5" s="18"/>
      <c r="E5" s="12"/>
      <c r="F5" s="12"/>
      <c r="G5" s="12"/>
      <c r="H5" s="12"/>
      <c r="I5" s="12" t="s">
        <v>67</v>
      </c>
      <c r="J5" s="12" t="s">
        <v>142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12"/>
      <c r="B6" s="12" t="s">
        <v>139</v>
      </c>
      <c r="C6" s="19" t="s">
        <v>140</v>
      </c>
      <c r="D6" s="18" t="s">
        <v>141</v>
      </c>
      <c r="E6" s="12" t="s">
        <v>67</v>
      </c>
      <c r="F6" s="12"/>
      <c r="G6" s="12"/>
      <c r="H6" s="12"/>
      <c r="I6" s="12" t="s">
        <v>82</v>
      </c>
      <c r="J6" s="18">
        <v>0.0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2"/>
      <c r="B7" s="16"/>
      <c r="C7" s="41"/>
      <c r="D7" s="17"/>
      <c r="E7" s="42" t="s">
        <v>100</v>
      </c>
      <c r="F7" s="12"/>
      <c r="G7" s="12"/>
      <c r="H7" s="12"/>
      <c r="I7" s="12" t="s">
        <v>85</v>
      </c>
      <c r="J7" s="18">
        <v>0.0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2"/>
      <c r="B8" s="16"/>
      <c r="C8" s="41"/>
      <c r="D8" s="17"/>
      <c r="E8" s="42" t="s">
        <v>90</v>
      </c>
      <c r="F8" s="43"/>
      <c r="G8" s="12"/>
      <c r="H8" s="12"/>
      <c r="I8" s="12" t="s">
        <v>87</v>
      </c>
      <c r="J8" s="18">
        <v>0.0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2"/>
      <c r="B9" s="16"/>
      <c r="C9" s="41"/>
      <c r="D9" s="17"/>
      <c r="E9" s="42" t="s">
        <v>105</v>
      </c>
      <c r="F9" s="43"/>
      <c r="G9" s="44"/>
      <c r="H9" s="45"/>
      <c r="I9" s="12" t="s">
        <v>89</v>
      </c>
      <c r="J9" s="18">
        <v>0.0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2"/>
      <c r="B10" s="16"/>
      <c r="C10" s="41"/>
      <c r="D10" s="17"/>
      <c r="E10" s="42" t="s">
        <v>455</v>
      </c>
      <c r="F10" s="43"/>
      <c r="G10" s="12"/>
      <c r="H10" s="12"/>
      <c r="I10" s="12" t="s">
        <v>90</v>
      </c>
      <c r="J10" s="18">
        <v>0.0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2"/>
      <c r="B11" s="16"/>
      <c r="C11" s="41"/>
      <c r="D11" s="17"/>
      <c r="E11" s="42" t="s">
        <v>94</v>
      </c>
      <c r="F11" s="43"/>
      <c r="G11" s="12"/>
      <c r="H11" s="12"/>
      <c r="I11" s="12" t="s">
        <v>93</v>
      </c>
      <c r="J11" s="18">
        <v>0.0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2"/>
      <c r="B12" s="16"/>
      <c r="C12" s="41"/>
      <c r="D12" s="17"/>
      <c r="E12" s="42" t="s">
        <v>99</v>
      </c>
      <c r="F12" s="43"/>
      <c r="G12" s="12"/>
      <c r="H12" s="12"/>
      <c r="I12" s="12" t="s">
        <v>94</v>
      </c>
      <c r="J12" s="18">
        <v>0.0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2"/>
      <c r="B13" s="16"/>
      <c r="C13" s="41"/>
      <c r="D13" s="17"/>
      <c r="E13" s="42" t="s">
        <v>98</v>
      </c>
      <c r="F13" s="43"/>
      <c r="G13" s="12"/>
      <c r="H13" s="12"/>
      <c r="I13" s="12" t="s">
        <v>95</v>
      </c>
      <c r="J13" s="18">
        <v>0.0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2"/>
      <c r="B14" s="16"/>
      <c r="C14" s="41"/>
      <c r="D14" s="17"/>
      <c r="E14" s="42" t="s">
        <v>95</v>
      </c>
      <c r="F14" s="43"/>
      <c r="G14" s="12"/>
      <c r="H14" s="12"/>
      <c r="I14" s="12" t="s">
        <v>96</v>
      </c>
      <c r="J14" s="18">
        <v>0.0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2"/>
      <c r="B15" s="16"/>
      <c r="C15" s="41"/>
      <c r="D15" s="17"/>
      <c r="E15" s="42" t="s">
        <v>104</v>
      </c>
      <c r="F15" s="43"/>
      <c r="G15" s="12"/>
      <c r="H15" s="12"/>
      <c r="I15" s="12" t="s">
        <v>156</v>
      </c>
      <c r="J15" s="18">
        <v>0.0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2"/>
      <c r="B16" s="16"/>
      <c r="C16" s="41"/>
      <c r="D16" s="17"/>
      <c r="E16" s="42" t="s">
        <v>95</v>
      </c>
      <c r="F16" s="43"/>
      <c r="G16" s="12"/>
      <c r="H16" s="12"/>
      <c r="I16" s="12" t="s">
        <v>98</v>
      </c>
      <c r="J16" s="18">
        <v>0.0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2"/>
      <c r="B17" s="16"/>
      <c r="C17" s="41"/>
      <c r="D17" s="17"/>
      <c r="E17" s="42" t="s">
        <v>153</v>
      </c>
      <c r="F17" s="43"/>
      <c r="G17" s="12"/>
      <c r="H17" s="12"/>
      <c r="I17" s="12" t="s">
        <v>99</v>
      </c>
      <c r="J17" s="18">
        <v>0.0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2"/>
      <c r="B18" s="12"/>
      <c r="C18" s="41"/>
      <c r="D18" s="17"/>
      <c r="E18" s="42" t="s">
        <v>107</v>
      </c>
      <c r="F18" s="43"/>
      <c r="G18" s="12"/>
      <c r="H18" s="12"/>
      <c r="I18" s="12" t="s">
        <v>100</v>
      </c>
      <c r="J18" s="18">
        <v>0.0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2"/>
      <c r="B19" s="12"/>
      <c r="C19" s="46"/>
      <c r="D19" s="17"/>
      <c r="E19" s="42" t="s">
        <v>106</v>
      </c>
      <c r="F19" s="43"/>
      <c r="G19" s="12"/>
      <c r="H19" s="12"/>
      <c r="I19" s="12" t="s">
        <v>101</v>
      </c>
      <c r="J19" s="18">
        <v>0.0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2"/>
      <c r="B20" s="12"/>
      <c r="C20" s="46"/>
      <c r="D20" s="17"/>
      <c r="E20" s="42" t="s">
        <v>87</v>
      </c>
      <c r="F20" s="43"/>
      <c r="G20" s="12"/>
      <c r="H20" s="12"/>
      <c r="I20" s="12" t="s">
        <v>153</v>
      </c>
      <c r="J20" s="18">
        <v>0.0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2"/>
      <c r="B21" s="12"/>
      <c r="C21" s="46"/>
      <c r="D21" s="17"/>
      <c r="E21" s="42" t="s">
        <v>156</v>
      </c>
      <c r="F21" s="43"/>
      <c r="G21" s="12"/>
      <c r="H21" s="12"/>
      <c r="I21" s="12" t="s">
        <v>104</v>
      </c>
      <c r="J21" s="18">
        <v>0.0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2"/>
      <c r="B22" s="12"/>
      <c r="C22" s="46"/>
      <c r="D22" s="17"/>
      <c r="E22" s="42" t="s">
        <v>90</v>
      </c>
      <c r="F22" s="43"/>
      <c r="G22" s="12"/>
      <c r="H22" s="12"/>
      <c r="I22" s="12" t="s">
        <v>455</v>
      </c>
      <c r="J22" s="18">
        <v>0.0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2"/>
      <c r="B23" s="12"/>
      <c r="C23" s="46"/>
      <c r="D23" s="17"/>
      <c r="E23" s="42" t="s">
        <v>101</v>
      </c>
      <c r="F23" s="43"/>
      <c r="G23" s="12"/>
      <c r="H23" s="12"/>
      <c r="I23" s="12" t="s">
        <v>105</v>
      </c>
      <c r="J23" s="18">
        <v>0.0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2"/>
      <c r="B24" s="12"/>
      <c r="C24" s="46"/>
      <c r="D24" s="17"/>
      <c r="E24" s="42" t="s">
        <v>94</v>
      </c>
      <c r="F24" s="43"/>
      <c r="G24" s="12"/>
      <c r="H24" s="12"/>
      <c r="I24" s="12" t="s">
        <v>106</v>
      </c>
      <c r="J24" s="18">
        <v>0.0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2"/>
      <c r="B25" s="12"/>
      <c r="C25" s="46"/>
      <c r="D25" s="17"/>
      <c r="E25" s="42" t="s">
        <v>89</v>
      </c>
      <c r="F25" s="43"/>
      <c r="G25" s="12"/>
      <c r="H25" s="12"/>
      <c r="I25" s="12" t="s">
        <v>107</v>
      </c>
      <c r="J25" s="18">
        <v>0.0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2"/>
      <c r="B26" s="12"/>
      <c r="C26" s="46"/>
      <c r="D26" s="17"/>
      <c r="E26" s="42" t="s">
        <v>104</v>
      </c>
      <c r="F26" s="43"/>
      <c r="G26" s="12"/>
      <c r="H26" s="12"/>
      <c r="I26" s="12" t="s">
        <v>167</v>
      </c>
      <c r="J26" s="18">
        <v>0.0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2"/>
      <c r="B27" s="12"/>
      <c r="C27" s="46"/>
      <c r="D27" s="17"/>
      <c r="E27" s="42" t="s">
        <v>105</v>
      </c>
      <c r="F27" s="4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2"/>
      <c r="B28" s="12"/>
      <c r="C28" s="46"/>
      <c r="D28" s="17"/>
      <c r="E28" s="42" t="s">
        <v>85</v>
      </c>
      <c r="F28" s="43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2"/>
      <c r="B29" s="12"/>
      <c r="C29" s="46"/>
      <c r="D29" s="17"/>
      <c r="E29" s="42" t="s">
        <v>105</v>
      </c>
      <c r="F29" s="43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2"/>
      <c r="B30" s="12"/>
      <c r="C30" s="46"/>
      <c r="D30" s="17"/>
      <c r="E30" s="42" t="s">
        <v>82</v>
      </c>
      <c r="F30" s="4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2"/>
      <c r="B31" s="12"/>
      <c r="C31" s="41"/>
      <c r="D31" s="17"/>
      <c r="E31" s="42" t="s">
        <v>94</v>
      </c>
      <c r="F31" s="4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2"/>
      <c r="B32" s="12"/>
      <c r="C32" s="41"/>
      <c r="D32" s="17"/>
      <c r="E32" s="42" t="s">
        <v>106</v>
      </c>
      <c r="F32" s="4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2"/>
      <c r="B33" s="12"/>
      <c r="C33" s="41"/>
      <c r="D33" s="17"/>
      <c r="E33" s="42" t="s">
        <v>106</v>
      </c>
      <c r="F33" s="4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2"/>
      <c r="B34" s="12"/>
      <c r="C34" s="41"/>
      <c r="D34" s="17"/>
      <c r="E34" s="42" t="s">
        <v>89</v>
      </c>
      <c r="F34" s="4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2"/>
      <c r="B35" s="12"/>
      <c r="C35" s="41"/>
      <c r="D35" s="17"/>
      <c r="E35" s="42" t="s">
        <v>95</v>
      </c>
      <c r="F35" s="4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2"/>
      <c r="B36" s="12"/>
      <c r="C36" s="41"/>
      <c r="D36" s="17"/>
      <c r="E36" s="42" t="s">
        <v>96</v>
      </c>
      <c r="F36" s="4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2"/>
      <c r="B37" s="12"/>
      <c r="C37" s="41"/>
      <c r="D37" s="17"/>
      <c r="E37" s="42" t="s">
        <v>104</v>
      </c>
      <c r="F37" s="4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2"/>
      <c r="B38" s="12"/>
      <c r="C38" s="41"/>
      <c r="D38" s="17"/>
      <c r="E38" s="42" t="s">
        <v>95</v>
      </c>
      <c r="F38" s="4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2"/>
      <c r="B39" s="12"/>
      <c r="C39" s="41"/>
      <c r="D39" s="17"/>
      <c r="E39" s="42" t="s">
        <v>85</v>
      </c>
      <c r="F39" s="4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2"/>
      <c r="B40" s="12"/>
      <c r="C40" s="41"/>
      <c r="D40" s="17"/>
      <c r="E40" s="42" t="s">
        <v>93</v>
      </c>
      <c r="F40" s="4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2"/>
      <c r="B41" s="12"/>
      <c r="C41" s="41"/>
      <c r="D41" s="17"/>
      <c r="E41" s="42" t="s">
        <v>96</v>
      </c>
      <c r="F41" s="4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2"/>
      <c r="B42" s="12"/>
      <c r="C42" s="41"/>
      <c r="D42" s="17"/>
      <c r="E42" s="42" t="s">
        <v>94</v>
      </c>
      <c r="F42" s="4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2"/>
      <c r="B43" s="12"/>
      <c r="C43" s="41"/>
      <c r="D43" s="17"/>
      <c r="E43" s="42" t="s">
        <v>105</v>
      </c>
      <c r="F43" s="4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2"/>
      <c r="B44" s="12"/>
      <c r="C44" s="41"/>
      <c r="D44" s="17"/>
      <c r="E44" s="42" t="s">
        <v>98</v>
      </c>
      <c r="F44" s="4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2"/>
      <c r="B45" s="12"/>
      <c r="C45" s="41"/>
      <c r="D45" s="17"/>
      <c r="E45" s="42" t="s">
        <v>104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2"/>
      <c r="B46" s="12"/>
      <c r="C46" s="41"/>
      <c r="D46" s="17"/>
      <c r="E46" s="42" t="s">
        <v>106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2"/>
      <c r="B47" s="12"/>
      <c r="C47" s="41"/>
      <c r="D47" s="17"/>
      <c r="E47" s="42" t="s">
        <v>82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2"/>
      <c r="B48" s="12"/>
      <c r="C48" s="41"/>
      <c r="D48" s="17"/>
      <c r="E48" s="42" t="s">
        <v>94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2"/>
      <c r="B49" s="12"/>
      <c r="C49" s="41"/>
      <c r="D49" s="17"/>
      <c r="E49" s="42" t="s">
        <v>94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2"/>
      <c r="B50" s="12"/>
      <c r="C50" s="41"/>
      <c r="D50" s="17"/>
      <c r="E50" s="42" t="s">
        <v>104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2"/>
      <c r="B51" s="12"/>
      <c r="C51" s="41"/>
      <c r="D51" s="17"/>
      <c r="E51" s="42" t="s">
        <v>106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2"/>
      <c r="B52" s="12"/>
      <c r="C52" s="41"/>
      <c r="D52" s="17"/>
      <c r="E52" s="42" t="s">
        <v>95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2"/>
      <c r="B53" s="12"/>
      <c r="C53" s="41"/>
      <c r="D53" s="17"/>
      <c r="E53" s="42" t="s">
        <v>105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2"/>
      <c r="B54" s="12"/>
      <c r="C54" s="41"/>
      <c r="D54" s="17"/>
      <c r="E54" s="42" t="s">
        <v>87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2"/>
      <c r="B55" s="12"/>
      <c r="C55" s="41"/>
      <c r="D55" s="17"/>
      <c r="E55" s="42" t="s">
        <v>101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2"/>
      <c r="B56" s="12"/>
      <c r="C56" s="41"/>
      <c r="D56" s="17"/>
      <c r="E56" s="42" t="s">
        <v>106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2"/>
      <c r="B57" s="12"/>
      <c r="C57" s="41"/>
      <c r="D57" s="17"/>
      <c r="E57" s="42" t="s">
        <v>89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2"/>
      <c r="B58" s="12"/>
      <c r="C58" s="41"/>
      <c r="D58" s="17"/>
      <c r="E58" s="42" t="s">
        <v>82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2"/>
      <c r="B59" s="12"/>
      <c r="C59" s="41"/>
      <c r="D59" s="17"/>
      <c r="E59" s="42" t="s">
        <v>82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2"/>
      <c r="B60" s="12"/>
      <c r="C60" s="46"/>
      <c r="D60" s="17"/>
      <c r="E60" s="42" t="s">
        <v>94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2"/>
      <c r="B61" s="12"/>
      <c r="C61" s="46"/>
      <c r="D61" s="17"/>
      <c r="E61" s="42" t="s">
        <v>96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1"/>
      <c r="B62" s="12"/>
      <c r="C62" s="46"/>
      <c r="D62" s="17"/>
      <c r="E62" s="42" t="s">
        <v>105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2"/>
      <c r="B63" s="12"/>
      <c r="C63" s="46"/>
      <c r="D63" s="17"/>
      <c r="E63" s="42" t="s">
        <v>82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2"/>
      <c r="B64" s="12"/>
      <c r="C64" s="46"/>
      <c r="D64" s="17"/>
      <c r="E64" s="42" t="s">
        <v>95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2"/>
      <c r="B65" s="12"/>
      <c r="C65" s="41"/>
      <c r="D65" s="17"/>
      <c r="E65" s="42" t="s">
        <v>153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2"/>
      <c r="B66" s="12"/>
      <c r="C66" s="41"/>
      <c r="D66" s="17"/>
      <c r="E66" s="42" t="s">
        <v>98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2"/>
      <c r="B67" s="12"/>
      <c r="C67" s="41"/>
      <c r="D67" s="17"/>
      <c r="E67" s="42" t="s">
        <v>94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12"/>
      <c r="B68" s="12"/>
      <c r="C68" s="41"/>
      <c r="D68" s="17"/>
      <c r="E68" s="42" t="s">
        <v>82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12"/>
      <c r="B69" s="12"/>
      <c r="C69" s="41"/>
      <c r="D69" s="17"/>
      <c r="E69" s="42" t="s">
        <v>82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</row>
    <row r="103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</row>
    <row r="103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</row>
    <row r="103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</row>
    <row r="103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</row>
    <row r="1034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</row>
    <row r="1035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</row>
    <row r="1036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</row>
    <row r="1037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</row>
    <row r="1038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</row>
    <row r="1039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</row>
    <row r="1040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</row>
    <row r="104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</row>
    <row r="1042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</row>
    <row r="1043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</row>
    <row r="1044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</row>
    <row r="1045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</row>
    <row r="1046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</row>
    <row r="1047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</row>
    <row r="1048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</row>
    <row r="1049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</row>
    <row r="1050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</row>
    <row r="105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</row>
    <row r="1052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</row>
    <row r="1053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</row>
  </sheetData>
  <mergeCells count="2">
    <mergeCell ref="A1:B1"/>
    <mergeCell ref="C1:D1"/>
  </mergeCells>
  <dataValidations>
    <dataValidation type="list" allowBlank="1" sqref="E7:E69">
      <formula1>"PAYMENT,DINE IN,TAKEOUT,DELIVERY,COFFEE,GROCERIES,INTERNET,MOBILE,PRIME VIDEO,HEALTH,CANNABIS,ALCOHOL,GAS,PARKING,NEWSPAPER,CLOTHES,TECHNOLOGY,FURNITURE,CHARITY,ENTERTAINMENT,CATS,HOTELS,TRANSPORTATION,HOUSEHOLD,GIFTS,FLIGHTS,PARAMOUNT,SUBSCRIPTION SERVIC"&amp;"ES"</formula1>
    </dataValidation>
  </dataValidations>
  <drawing r:id="rId1"/>
</worksheet>
</file>