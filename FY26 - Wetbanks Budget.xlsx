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ebts" sheetId="2" r:id="rId6"/>
    <sheet state="visible" name="Jan - 2026 (CC)" sheetId="3" r:id="rId7"/>
    <sheet state="visible" name="Feb - 2026 (CC)" sheetId="4" r:id="rId8"/>
    <sheet state="visible" name="Mar - 2026 (CC)" sheetId="5" r:id="rId9"/>
    <sheet state="visible" name="Apr - 2026 (CC)" sheetId="6" r:id="rId10"/>
    <sheet state="visible" name="May - 2026 (CC)" sheetId="7" r:id="rId11"/>
    <sheet state="visible" name="Jun - 2026 (CC)" sheetId="8" r:id="rId12"/>
    <sheet state="visible" name="Jul - 2026 (CC)" sheetId="9" r:id="rId13"/>
    <sheet state="visible" name="Aug - 2026 (CC)" sheetId="10" r:id="rId14"/>
    <sheet state="visible" name="Sep - 2026 (CC)" sheetId="11" r:id="rId15"/>
    <sheet state="visible" name="Oct - 2026 (CC)" sheetId="12" r:id="rId16"/>
    <sheet state="visible" name="Nov - 2026 (CC)" sheetId="13" r:id="rId17"/>
    <sheet state="visible" name="Dec - 2026 (CC)" sheetId="14" r:id="rId18"/>
  </sheets>
  <definedNames>
    <definedName hidden="1" localSheetId="3" name="_xlnm._FilterDatabase">'Feb - 2026 (CC)'!$A$1:$Z$88</definedName>
    <definedName hidden="1" localSheetId="4" name="_xlnm._FilterDatabase">'Mar - 2026 (CC)'!$A$1:$Z$61</definedName>
  </definedNames>
  <calcPr/>
  <pivotCaches>
    <pivotCache cacheId="0" r:id="rId19"/>
    <pivotCache cacheId="1" r:id="rId20"/>
  </pivotCaches>
</workbook>
</file>

<file path=xl/sharedStrings.xml><?xml version="1.0" encoding="utf-8"?>
<sst xmlns="http://schemas.openxmlformats.org/spreadsheetml/2006/main" count="696" uniqueCount="230">
  <si>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</si>
  <si>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</si>
  <si>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</si>
  <si>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</si>
  <si>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</si>
  <si>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</si>
  <si>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</si>
  <si>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</si>
  <si>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</si>
  <si>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</si>
  <si>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</si>
  <si>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</si>
  <si>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CURRENT YEAR BUDGET</t>
  </si>
  <si>
    <t>Total Income</t>
  </si>
  <si>
    <t>Total Expenses</t>
  </si>
  <si>
    <t>Balance</t>
  </si>
  <si>
    <t>Data below will populate the above chart and calendar summary.</t>
  </si>
  <si>
    <t>Income</t>
  </si>
  <si>
    <t>Year-End Total</t>
  </si>
  <si>
    <t xml:space="preserve">Matt Pay </t>
  </si>
  <si>
    <t xml:space="preserve">Nicole Pay </t>
  </si>
  <si>
    <t>Expenses</t>
  </si>
  <si>
    <t>NEEDS</t>
  </si>
  <si>
    <t>Housing</t>
  </si>
  <si>
    <t>Enbridge</t>
  </si>
  <si>
    <t>London Hydro</t>
  </si>
  <si>
    <t>Groceries</t>
  </si>
  <si>
    <t>Pets (Daycare, Food, Toys)</t>
  </si>
  <si>
    <t>Transportation (Gas, Car Repairs)</t>
  </si>
  <si>
    <t>Internet (Start.ca)</t>
  </si>
  <si>
    <t>Home Security (Telus)</t>
  </si>
  <si>
    <t>Mobile (Telus)</t>
  </si>
  <si>
    <t>Insurance (Life/Home/Auto/Pet)</t>
  </si>
  <si>
    <t>Property Taxes</t>
  </si>
  <si>
    <t>Debit Payments (LOC, Loans)</t>
  </si>
  <si>
    <t>WANTS</t>
  </si>
  <si>
    <t>Subscriptions (Streaming, Software, etc.)</t>
  </si>
  <si>
    <t>Entertainment / Dining Out / Takeout / Newspapers</t>
  </si>
  <si>
    <t>Clothing / Personal Care</t>
  </si>
  <si>
    <t>Gifts / Donations</t>
  </si>
  <si>
    <t>Charity</t>
  </si>
  <si>
    <t>Travel (Hotels, Flights, Uber)</t>
  </si>
  <si>
    <t>Coffee (Nespresso)</t>
  </si>
  <si>
    <t>Home (Improvement, Tools, etc)</t>
  </si>
  <si>
    <t>Misc (Alcohol, Cannabis, Misc)</t>
  </si>
  <si>
    <t>AMEX</t>
  </si>
  <si>
    <t>VISA</t>
  </si>
  <si>
    <t>MC</t>
  </si>
  <si>
    <t>Loan Name</t>
  </si>
  <si>
    <t>Creditor</t>
  </si>
  <si>
    <t>Initial Balance</t>
  </si>
  <si>
    <t>Monthly Payment</t>
  </si>
  <si>
    <t>Monthly Extra</t>
  </si>
  <si>
    <t>Current Balance</t>
  </si>
  <si>
    <t>Savings</t>
  </si>
  <si>
    <t>Remaining</t>
  </si>
  <si>
    <t>Balance at Due</t>
  </si>
  <si>
    <t>Due Date</t>
  </si>
  <si>
    <t>Notes</t>
  </si>
  <si>
    <t>Brookstone (Doors)</t>
  </si>
  <si>
    <t>FinanceIt</t>
  </si>
  <si>
    <t>0% interest for 24 months</t>
  </si>
  <si>
    <t>Home Depot (Range)</t>
  </si>
  <si>
    <t>Home Depot CC</t>
  </si>
  <si>
    <t>Tangerine Line of Credit</t>
  </si>
  <si>
    <t>Tangerine</t>
  </si>
  <si>
    <t>Total:</t>
  </si>
  <si>
    <t>Potential Loans</t>
  </si>
  <si>
    <t>HandyBros (WaterHeater/Furnace/Heatpump)</t>
  </si>
  <si>
    <t>0% interest for 90 days</t>
  </si>
  <si>
    <t>Canada Greener Homes Loan</t>
  </si>
  <si>
    <t>0% interest for 20 years</t>
  </si>
  <si>
    <t>DATE</t>
  </si>
  <si>
    <t>ITEM</t>
  </si>
  <si>
    <t>AMOUNT</t>
  </si>
  <si>
    <t>CATEGORY</t>
  </si>
  <si>
    <t>NESTLÉ CANADA INC       TORONTO</t>
  </si>
  <si>
    <t>COFFEE</t>
  </si>
  <si>
    <t>Amazon Channels</t>
  </si>
  <si>
    <t>PRIME VIDEO SUB</t>
  </si>
  <si>
    <t>START CA</t>
  </si>
  <si>
    <t>INTERNET</t>
  </si>
  <si>
    <t>JS RYAN CO</t>
  </si>
  <si>
    <t>HEALTH &amp; BEAUTY</t>
  </si>
  <si>
    <t>DOMINOS PIZZA #10250</t>
  </si>
  <si>
    <t>TAKE OUT</t>
  </si>
  <si>
    <t xml:space="preserve">SUM of  AMOUNT </t>
  </si>
  <si>
    <t>Amazon.ca*D47KD7Y63</t>
  </si>
  <si>
    <t>ENTERTAINMENT</t>
  </si>
  <si>
    <t>Amazon.ca*Q742C9C83</t>
  </si>
  <si>
    <t>APPLE SUB</t>
  </si>
  <si>
    <t>PETRO-CANADA 65231</t>
  </si>
  <si>
    <t>CAR</t>
  </si>
  <si>
    <t>CANNABIS</t>
  </si>
  <si>
    <t>GAS</t>
  </si>
  <si>
    <t>Ad free for PrimeVideo</t>
  </si>
  <si>
    <t>CHARITY</t>
  </si>
  <si>
    <t>APPLE.COM/BILL          TORONTO</t>
  </si>
  <si>
    <t>CLOTHES</t>
  </si>
  <si>
    <t>CANADIAN TIRE #058</t>
  </si>
  <si>
    <t>HOME</t>
  </si>
  <si>
    <t>WWW.PERPLEXITY.AI</t>
  </si>
  <si>
    <t>MISC</t>
  </si>
  <si>
    <t>DAY CARE</t>
  </si>
  <si>
    <t>COUNTRY PAWS BOARDING 2 LONDON</t>
  </si>
  <si>
    <t>SHOPPERS DRUG MART #11</t>
  </si>
  <si>
    <t>APPLE.COM/BILL</t>
  </si>
  <si>
    <t>GIFTS</t>
  </si>
  <si>
    <t>SP LAKE OF BAYS BREW</t>
  </si>
  <si>
    <t>GROCERIES</t>
  </si>
  <si>
    <t>PET VALU #2027</t>
  </si>
  <si>
    <t>PET FOOD/TOYS</t>
  </si>
  <si>
    <t>HYLAND CINEMAS-ECOMM</t>
  </si>
  <si>
    <t>LONDON CURLING CLUB</t>
  </si>
  <si>
    <t>SP ODDBUNCH             LONDON</t>
  </si>
  <si>
    <t>MOBILE</t>
  </si>
  <si>
    <t>SESSIONS CANNABIS S LOND</t>
  </si>
  <si>
    <t>NEWSPAPERS</t>
  </si>
  <si>
    <t>METRO 150</t>
  </si>
  <si>
    <t>PAYMENT</t>
  </si>
  <si>
    <t>CDNCANCERSOC-FRUP</t>
  </si>
  <si>
    <t>HYLAND CINEMA INC.</t>
  </si>
  <si>
    <t>SPOTIFY SUB</t>
  </si>
  <si>
    <t>SQ *THE WHOLE GRAIN HEART</t>
  </si>
  <si>
    <t>TELUS SECURITY</t>
  </si>
  <si>
    <t>TRAVEL</t>
  </si>
  <si>
    <t>Grand Total</t>
  </si>
  <si>
    <t>MEMBERSHIP FEE INSTALLMENT</t>
  </si>
  <si>
    <t>MCDONALD'S #1501</t>
  </si>
  <si>
    <t>WDW LIGHTNING LANE      LAKE BUENA VI</t>
  </si>
  <si>
    <t>Amazon.ca Prime Member</t>
  </si>
  <si>
    <t>PHOTOGOV.COM</t>
  </si>
  <si>
    <t>PAYMENT RECEIVED - THANK YOU</t>
  </si>
  <si>
    <t>HM PASSPORT OFFICE</t>
  </si>
  <si>
    <t>McDonalds 1501</t>
  </si>
  <si>
    <t>THE ECONOMIST The Econo NEW YORK</t>
  </si>
  <si>
    <t>SPOTIFY P3E7C70301 6844 STOCKHOLM</t>
  </si>
  <si>
    <t>TELUS MOBILITY PREAUTH CALGARY</t>
  </si>
  <si>
    <t>Dark Horse London</t>
  </si>
  <si>
    <t>FARM BOY #91</t>
  </si>
  <si>
    <t>GOFNDME* HELP BEN WARN</t>
  </si>
  <si>
    <t>WDW EVERYTHING POP LAKE BUENA VI</t>
  </si>
  <si>
    <t>WDW BAYVIEW GIFTS</t>
  </si>
  <si>
    <t>TELUS PRE-AUTH PAYMENT</t>
  </si>
  <si>
    <t>SP ODDBUNCH LONDON</t>
  </si>
  <si>
    <t>TST* CAKE BAKE SHOP - D ORLANDO</t>
  </si>
  <si>
    <t>QUICKTAG TEMPE</t>
  </si>
  <si>
    <t>WDW WOODY'S LUNCH B LAKE BUENA VI</t>
  </si>
  <si>
    <t>FRANCE WINE KIOSK LAKE BUENA VI</t>
  </si>
  <si>
    <t>ROBERT Q AIRBUS TORONTO</t>
  </si>
  <si>
    <t>VIA NAPOLI LAKE BUENA VIST</t>
  </si>
  <si>
    <t>WDW BLOCK AND HANS LAKE BUENA VI</t>
  </si>
  <si>
    <t>WDW ROSE &amp;CROWN PUB LAKE BUENA VI</t>
  </si>
  <si>
    <t>WDW THE TEA CADDY LAKE BUENA VI</t>
  </si>
  <si>
    <t>WDW TICKETS LAKE BUENA VI</t>
  </si>
  <si>
    <t>ROVER.COM* PET SVCS.</t>
  </si>
  <si>
    <t>TACOS LOCOS AS 4 MCO ORLANDO</t>
  </si>
  <si>
    <t>WDW DISNEY RESORTS LAKE BUENA VI</t>
  </si>
  <si>
    <t>WDW HARBOR HOUSE LAKE BUENA VI</t>
  </si>
  <si>
    <t>NIKU FARMS 647-5787639</t>
  </si>
  <si>
    <t>LULULEMONCOM*</t>
  </si>
  <si>
    <t>SHOPPERS DRUG MART #1146</t>
  </si>
  <si>
    <t>PAYMENT - THANK YOU</t>
  </si>
  <si>
    <t>CINEPLEX #8030 WEB QP TORONTO</t>
  </si>
  <si>
    <t>PIONEER STN #131</t>
  </si>
  <si>
    <t>CINEPLEX WESTMOUNT #7112</t>
  </si>
  <si>
    <t>EVENTBRITE/NELLYSHAGGY</t>
  </si>
  <si>
    <t>MCDONALD'S #4040 LONDON</t>
  </si>
  <si>
    <t>NESTLÉ CANADA INC TORONTO</t>
  </si>
  <si>
    <t>PLAYSTATION NETWORK 877-971-7669</t>
  </si>
  <si>
    <t>Pay Balance with Points</t>
  </si>
  <si>
    <t>ALCOHOL</t>
  </si>
  <si>
    <t>FOREST OF FLOWERS</t>
  </si>
  <si>
    <t>FARM BOY ONLINE WS</t>
  </si>
  <si>
    <t>MARSHALLS 716</t>
  </si>
  <si>
    <t>DINE IN</t>
  </si>
  <si>
    <t>ODD BUNCH</t>
  </si>
  <si>
    <t>SP HYLAND CINEMA</t>
  </si>
  <si>
    <t>INSURANCE</t>
  </si>
  <si>
    <t>ELLIES PIZZERIA</t>
  </si>
  <si>
    <t>APPLE INC.</t>
  </si>
  <si>
    <t>SQ *SALT AND SWINE</t>
  </si>
  <si>
    <t>TST-Forked River Brewi</t>
  </si>
  <si>
    <t>UBER</t>
  </si>
  <si>
    <t>Membership Fee</t>
  </si>
  <si>
    <t>UBER EATS HTTPS://HELP.UB</t>
  </si>
  <si>
    <t>FRESHCO #9863 LONDON LONDON</t>
  </si>
  <si>
    <t>SHOPPERS DRUG MART #114 LONDON</t>
  </si>
  <si>
    <t>THE POACHERS ARMS LONDON</t>
  </si>
  <si>
    <t>SWISS CHALET #1135E</t>
  </si>
  <si>
    <t>COUSIN VINNYS PIZZA LONDON</t>
  </si>
  <si>
    <t>UBER TRIP HTTPS://HELP.UB</t>
  </si>
  <si>
    <t>HYLAND CINEMA INC. LONDON</t>
  </si>
  <si>
    <t>FCSSC</t>
  </si>
  <si>
    <t>TREMBLETT'S YIG 7962</t>
  </si>
  <si>
    <t>SHELL C02231 LONDON</t>
  </si>
  <si>
    <t>WENDYS 114 LONDON</t>
  </si>
  <si>
    <t>SPOTIFY STOCKHOLM</t>
  </si>
  <si>
    <t>THE WHOLE GRAIN HEARTH London</t>
  </si>
  <si>
    <t>ARCHIES SEAFOOD REST</t>
  </si>
  <si>
    <t>BUILD A BOWL SOUTH LONDON</t>
  </si>
  <si>
    <t>METRO 150 LONDON</t>
  </si>
  <si>
    <t>SECURITY NATIONAL INSU MONTREAL</t>
  </si>
  <si>
    <t>LOCOMOTIVE ESPRESSO NOR London</t>
  </si>
  <si>
    <t>PIONEER 43368</t>
  </si>
  <si>
    <t>CINEPLEX 7112 QPS</t>
  </si>
  <si>
    <t>ABE ERB</t>
  </si>
  <si>
    <t>THE BEAT GOES ON</t>
  </si>
  <si>
    <t>Archies Seafood Restaura</t>
  </si>
  <si>
    <t>MTO TSD SO LONDON LAMB</t>
  </si>
  <si>
    <t>PET VALU #2027 LONDON</t>
  </si>
  <si>
    <t>FRESHCO #9863</t>
  </si>
  <si>
    <t>STEAM PURCHASE</t>
  </si>
  <si>
    <t>WENDYS 114</t>
  </si>
  <si>
    <t>APPLE.COM/BILL TORONTO</t>
  </si>
  <si>
    <t>AIR CAN* 0142322334449</t>
  </si>
  <si>
    <t>TILT ARCADE BAR 2115848 LONDON</t>
  </si>
  <si>
    <t>TST-HUNTER &amp; CO LONDON</t>
  </si>
  <si>
    <t>TILT ARCADE BAR</t>
  </si>
  <si>
    <t>SP FACE TO FACE GAMES</t>
  </si>
  <si>
    <t>CLAUDE.AI SUBSCRIPTION</t>
  </si>
  <si>
    <t>Tokyo Smoke - London Well</t>
  </si>
  <si>
    <t>DDPLAZASUSHIOMAKAZE</t>
  </si>
  <si>
    <t>BEERLAB! LONDON</t>
  </si>
  <si>
    <t>BEERLAB!</t>
  </si>
  <si>
    <t>EVENTBRITE/BAHAMASINDU</t>
  </si>
  <si>
    <t>DELIVERY</t>
  </si>
  <si>
    <t>GLOBAL PET FOODS LONDON</t>
  </si>
  <si>
    <t>LONDON CURLING CLUB 00- LONDON</t>
  </si>
  <si>
    <t>OHBOMBAYRESTAURANT.COM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</si>
</sst>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mmm yyyy"/>
    <numFmt numFmtId="166" formatCode="d mmm yyyy"/>
    <numFmt numFmtId="167" formatCode="&quot;$&quot;#,##0.00"/>
    <numFmt numFmtId="168" formatCode="mmm d, yyyy"/>
    <numFmt numFmtId="169" formatCode="dd mmm yy"/>
    <numFmt numFmtId="170" formatCode="d mmm yy"/>
  </numFmts>
  <fonts count="43">
    <font>
      <sz val="12.0"/>
      <color theme="1"/>
      <name val="Calibri"/>
      <scheme val="minor"/>
    </font>
    <font>
      <sz val="12.0"/>
      <color theme="1"/>
      <name val="Century Gothic"/>
    </font>
    <font>
      <sz val="22.0"/>
      <color rgb="FF156082"/>
      <name val="Century Gothic"/>
    </font>
    <font>
      <sz val="14.0"/>
      <color theme="4"/>
      <name val="Century Gothic"/>
    </font>
    <font>
      <sz val="11.0"/>
      <color theme="1"/>
      <name val="Century Gothic"/>
    </font>
    <font>
      <sz val="11.0"/>
      <color theme="0"/>
      <name val="Century Gothic"/>
    </font>
    <font>
      <b/>
      <sz val="11.0"/>
      <color theme="4"/>
      <name val="Century Gothic"/>
    </font>
    <font>
      <b/>
      <sz val="11.0"/>
      <color rgb="FF156082"/>
      <name val="Century Gothic"/>
    </font>
    <font>
      <i/>
      <sz val="11.0"/>
      <color theme="4"/>
      <name val="Century Gothic"/>
    </font>
    <font>
      <sz val="14.0"/>
      <color theme="0"/>
      <name val="Century Gothic"/>
    </font>
    <font>
      <sz val="11.0"/>
      <color theme="4"/>
      <name val="Century Gothic"/>
    </font>
    <font/>
    <font>
      <sz val="12.0"/>
      <color theme="1"/>
      <name val="Calibri"/>
    </font>
    <font>
      <b/>
      <sz val="12.0"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b/>
      <sz val="9.0"/>
      <color theme="0"/>
      <name val="Century Gothic"/>
    </font>
    <font>
      <b/>
      <sz val="11.0"/>
      <color theme="0"/>
      <name val="Century Gothic"/>
    </font>
    <font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color theme="1"/>
      <name val="Arial"/>
    </font>
    <font>
      <color theme="1"/>
      <name val="Arial"/>
    </font>
    <font>
      <sz val="12.0"/>
      <color theme="1"/>
      <name val="TDGraphik-semilight"/>
    </font>
    <font>
      <u/>
      <sz val="12.0"/>
      <color rgb="FF467886"/>
      <name val="TDGraphik-semilight"/>
    </font>
    <font>
      <u/>
      <sz val="12.0"/>
      <color rgb="FF467886"/>
      <name val="TDGraphik-semilight"/>
    </font>
    <font>
      <color theme="1"/>
      <name val="TDGraphik-semilight"/>
    </font>
    <font>
      <sz val="12.0"/>
      <color theme="1"/>
      <name val="Arial"/>
    </font>
    <font>
      <u/>
      <sz val="12.0"/>
      <color rgb="FF0000FF"/>
      <name val="TDGraphik-semilight"/>
    </font>
    <font>
      <u/>
      <sz val="12.0"/>
      <color rgb="FF0000FF"/>
      <name val="TDGraphik-semilight"/>
    </font>
    <font>
      <sz val="11.0"/>
      <color theme="1"/>
      <name val="TDGraphik-medium"/>
    </font>
    <font>
      <u/>
      <sz val="12.0"/>
      <color rgb="FF467886"/>
      <name val="TDGraphik-semilight"/>
    </font>
    <font>
      <color rgb="FF333333"/>
      <name val="BentonSans-Md"/>
    </font>
    <font>
      <color rgb="FF333333"/>
      <name val="BentonSans"/>
    </font>
    <font>
      <u/>
      <color rgb="FF1155CC"/>
      <name val="Arial"/>
    </font>
    <font>
      <u/>
      <color rgb="FF0000FF"/>
      <name val="TDGraphik-semilight"/>
    </font>
    <font>
      <u/>
      <color rgb="FF0000FF"/>
      <name val="TDGraphik-semilight"/>
    </font>
    <font>
      <color rgb="FF00693C"/>
      <name val="BentonSans-Md"/>
    </font>
    <font>
      <color rgb="FF00693C"/>
      <name val="BentonSans"/>
    </font>
    <font>
      <u/>
      <color rgb="FF0000FF"/>
      <name val="TDGraphik-semilight"/>
    </font>
    <font>
      <color rgb="FF1C1C1C"/>
      <name val="TDGraphik-semilight"/>
    </font>
    <font>
      <u/>
      <color rgb="FF0000FF"/>
      <name val="TDGraphik-semilight"/>
    </font>
    <font>
      <u/>
      <color rgb="FF1155CC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57070"/>
        <bgColor rgb="FF757070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0E2841"/>
        <bgColor rgb="FF0E2841"/>
      </patternFill>
    </fill>
    <fill>
      <patternFill patternType="solid">
        <fgColor rgb="FFDBE9F7"/>
        <bgColor rgb="FFDBE9F7"/>
      </patternFill>
    </fill>
    <fill>
      <patternFill patternType="solid">
        <fgColor rgb="FFA6C9EB"/>
        <bgColor rgb="FFA6C9EB"/>
      </patternFill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4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/>
      <right/>
      <bottom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</border>
    <border>
      <bottom style="thin">
        <color rgb="FFDADADA"/>
      </bottom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right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vertical="center"/>
    </xf>
    <xf borderId="3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right" vertical="center"/>
    </xf>
    <xf borderId="2" fillId="5" fontId="4" numFmtId="164" xfId="0" applyAlignment="1" applyBorder="1" applyFill="1" applyFont="1" applyNumberFormat="1">
      <alignment vertical="center"/>
    </xf>
    <xf borderId="3" fillId="6" fontId="4" numFmtId="164" xfId="0" applyAlignment="1" applyBorder="1" applyFill="1" applyFont="1" applyNumberFormat="1">
      <alignment vertical="center"/>
    </xf>
    <xf borderId="0" fillId="0" fontId="7" numFmtId="0" xfId="0" applyAlignment="1" applyFont="1">
      <alignment horizontal="right" readingOrder="0" vertical="center"/>
    </xf>
    <xf borderId="1" fillId="2" fontId="8" numFmtId="0" xfId="0" applyBorder="1" applyFont="1"/>
    <xf borderId="1" fillId="2" fontId="9" numFmtId="0" xfId="0" applyAlignment="1" applyBorder="1" applyFont="1">
      <alignment horizontal="center" shrinkToFit="0" vertical="top" wrapText="1"/>
    </xf>
    <xf borderId="1" fillId="7" fontId="5" numFmtId="0" xfId="0" applyAlignment="1" applyBorder="1" applyFill="1" applyFont="1">
      <alignment horizontal="left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0" fillId="0" fontId="12" numFmtId="0" xfId="0" applyAlignment="1" applyFont="1">
      <alignment horizontal="center" shrinkToFit="0" wrapText="1"/>
    </xf>
    <xf borderId="7" fillId="2" fontId="13" numFmtId="0" xfId="0" applyAlignment="1" applyBorder="1" applyFont="1">
      <alignment horizontal="center" textRotation="255" vertical="center"/>
    </xf>
    <xf borderId="1" fillId="8" fontId="14" numFmtId="0" xfId="0" applyAlignment="1" applyBorder="1" applyFill="1" applyFont="1">
      <alignment horizontal="left" vertical="center"/>
    </xf>
    <xf borderId="1" fillId="8" fontId="15" numFmtId="0" xfId="0" applyAlignment="1" applyBorder="1" applyFont="1">
      <alignment vertical="center"/>
    </xf>
    <xf borderId="8" fillId="0" fontId="11" numFmtId="0" xfId="0" applyBorder="1" applyFont="1"/>
    <xf borderId="1" fillId="8" fontId="15" numFmtId="0" xfId="0" applyAlignment="1" applyBorder="1" applyFont="1">
      <alignment horizontal="left" readingOrder="0" vertical="center"/>
    </xf>
    <xf borderId="9" fillId="0" fontId="15" numFmtId="164" xfId="0" applyAlignment="1" applyBorder="1" applyFont="1" applyNumberFormat="1">
      <alignment vertical="center"/>
    </xf>
    <xf borderId="9" fillId="0" fontId="15" numFmtId="164" xfId="0" applyAlignment="1" applyBorder="1" applyFont="1" applyNumberFormat="1">
      <alignment readingOrder="0" vertical="center"/>
    </xf>
    <xf borderId="1" fillId="8" fontId="15" numFmtId="164" xfId="0" applyAlignment="1" applyBorder="1" applyFont="1" applyNumberFormat="1">
      <alignment vertical="center"/>
    </xf>
    <xf borderId="9" fillId="9" fontId="15" numFmtId="164" xfId="0" applyAlignment="1" applyBorder="1" applyFill="1" applyFont="1" applyNumberFormat="1">
      <alignment vertical="center"/>
    </xf>
    <xf borderId="10" fillId="0" fontId="11" numFmtId="0" xfId="0" applyBorder="1" applyFont="1"/>
    <xf borderId="1" fillId="8" fontId="15" numFmtId="0" xfId="0" applyAlignment="1" applyBorder="1" applyFont="1">
      <alignment horizontal="left" vertical="center"/>
    </xf>
    <xf borderId="1" fillId="7" fontId="16" numFmtId="0" xfId="0" applyAlignment="1" applyBorder="1" applyFont="1">
      <alignment horizontal="right" vertical="center"/>
    </xf>
    <xf borderId="1" fillId="7" fontId="16" numFmtId="164" xfId="0" applyAlignment="1" applyBorder="1" applyFont="1" applyNumberFormat="1">
      <alignment vertical="center"/>
    </xf>
    <xf borderId="1" fillId="7" fontId="16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1" fillId="10" fontId="5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1" fillId="11" fontId="14" numFmtId="0" xfId="0" applyAlignment="1" applyBorder="1" applyFill="1" applyFont="1">
      <alignment horizontal="left" readingOrder="0" vertical="center"/>
    </xf>
    <xf borderId="1" fillId="11" fontId="15" numFmtId="0" xfId="0" applyAlignment="1" applyBorder="1" applyFont="1">
      <alignment vertical="center"/>
    </xf>
    <xf borderId="1" fillId="11" fontId="15" numFmtId="164" xfId="0" applyAlignment="1" applyBorder="1" applyFont="1" applyNumberFormat="1">
      <alignment vertical="center"/>
    </xf>
    <xf borderId="1" fillId="11" fontId="4" numFmtId="0" xfId="0" applyAlignment="1" applyBorder="1" applyFont="1">
      <alignment vertical="center"/>
    </xf>
    <xf borderId="1" fillId="11" fontId="15" numFmtId="0" xfId="0" applyAlignment="1" applyBorder="1" applyFont="1">
      <alignment horizontal="left" readingOrder="0" vertical="center"/>
    </xf>
    <xf borderId="11" fillId="0" fontId="15" numFmtId="164" xfId="0" applyAlignment="1" applyBorder="1" applyFont="1" applyNumberFormat="1">
      <alignment readingOrder="0" vertical="center"/>
    </xf>
    <xf borderId="11" fillId="12" fontId="15" numFmtId="164" xfId="0" applyAlignment="1" applyBorder="1" applyFill="1" applyFont="1" applyNumberFormat="1">
      <alignment vertical="center"/>
    </xf>
    <xf borderId="1" fillId="11" fontId="4" numFmtId="164" xfId="0" applyAlignment="1" applyBorder="1" applyFont="1" applyNumberFormat="1">
      <alignment vertical="center"/>
    </xf>
    <xf borderId="11" fillId="0" fontId="15" numFmtId="164" xfId="0" applyAlignment="1" applyBorder="1" applyFont="1" applyNumberFormat="1">
      <alignment vertical="center"/>
    </xf>
    <xf borderId="1" fillId="11" fontId="15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center" textRotation="255" vertical="center"/>
    </xf>
    <xf borderId="1" fillId="10" fontId="16" numFmtId="0" xfId="0" applyAlignment="1" applyBorder="1" applyFont="1">
      <alignment horizontal="right" vertical="center"/>
    </xf>
    <xf borderId="1" fillId="10" fontId="16" numFmtId="164" xfId="0" applyAlignment="1" applyBorder="1" applyFont="1" applyNumberFormat="1">
      <alignment vertical="center"/>
    </xf>
    <xf borderId="1" fillId="10" fontId="16" numFmtId="0" xfId="0" applyAlignment="1" applyBorder="1" applyFont="1">
      <alignment vertical="center"/>
    </xf>
    <xf borderId="1" fillId="10" fontId="17" numFmtId="0" xfId="0" applyAlignment="1" applyBorder="1" applyFont="1">
      <alignment vertical="center"/>
    </xf>
    <xf borderId="1" fillId="2" fontId="12" numFmtId="0" xfId="0" applyBorder="1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0" numFmtId="164" xfId="0" applyAlignment="1" applyFont="1" applyNumberFormat="1">
      <alignment horizontal="right" vertical="bottom"/>
    </xf>
    <xf borderId="0" fillId="0" fontId="20" numFmtId="165" xfId="0" applyAlignment="1" applyFont="1" applyNumberFormat="1">
      <alignment horizontal="right" vertical="bottom"/>
    </xf>
    <xf borderId="0" fillId="0" fontId="20" numFmtId="164" xfId="0" applyAlignment="1" applyFont="1" applyNumberFormat="1">
      <alignment vertical="bottom"/>
    </xf>
    <xf borderId="0" fillId="0" fontId="20" numFmtId="164" xfId="0" applyAlignment="1" applyFont="1" applyNumberFormat="1">
      <alignment horizontal="right" readingOrder="0" vertical="bottom"/>
    </xf>
    <xf borderId="0" fillId="0" fontId="20" numFmtId="0" xfId="0" applyFont="1"/>
    <xf borderId="0" fillId="0" fontId="21" numFmtId="0" xfId="0" applyAlignment="1" applyFont="1">
      <alignment horizontal="left" readingOrder="0" shrinkToFit="0" vertical="bottom" wrapText="0"/>
    </xf>
    <xf borderId="0" fillId="0" fontId="21" numFmtId="164" xfId="0" applyAlignment="1" applyFont="1" applyNumberFormat="1">
      <alignment horizontal="left" readingOrder="0" shrinkToFit="0" vertical="bottom" wrapText="0"/>
    </xf>
    <xf borderId="0" fillId="0" fontId="22" numFmtId="0" xfId="0" applyAlignment="1" applyFont="1">
      <alignment vertical="bottom"/>
    </xf>
    <xf borderId="0" fillId="0" fontId="22" numFmtId="166" xfId="0" applyAlignment="1" applyFont="1" applyNumberForma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164" xfId="0" applyAlignment="1" applyFont="1" applyNumberForma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3" numFmtId="166" xfId="0" applyAlignment="1" applyFont="1" applyNumberForma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164" xfId="0" applyAlignment="1" applyFont="1" applyNumberFormat="1">
      <alignment horizontal="right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2" numFmtId="164" xfId="0" applyAlignment="1" applyFont="1" applyNumberFormat="1">
      <alignment vertical="bottom"/>
    </xf>
    <xf borderId="12" fillId="0" fontId="23" numFmtId="166" xfId="0" applyAlignment="1" applyBorder="1" applyFont="1" applyNumberFormat="1">
      <alignment shrinkToFit="0" vertical="bottom" wrapText="0"/>
    </xf>
    <xf borderId="12" fillId="0" fontId="23" numFmtId="0" xfId="0" applyAlignment="1" applyBorder="1" applyFont="1">
      <alignment shrinkToFit="0" vertical="bottom" wrapText="0"/>
    </xf>
    <xf borderId="12" fillId="0" fontId="23" numFmtId="164" xfId="0" applyAlignment="1" applyBorder="1" applyFont="1" applyNumberFormat="1">
      <alignment horizontal="right" shrinkToFit="0" vertical="bottom" wrapText="0"/>
    </xf>
    <xf borderId="12" fillId="0" fontId="22" numFmtId="166" xfId="0" applyAlignment="1" applyBorder="1" applyFont="1" applyNumberFormat="1">
      <alignment shrinkToFit="0" vertical="bottom" wrapText="0"/>
    </xf>
    <xf borderId="12" fillId="0" fontId="22" numFmtId="0" xfId="0" applyAlignment="1" applyBorder="1" applyFont="1">
      <alignment shrinkToFit="0" vertical="bottom" wrapText="0"/>
    </xf>
    <xf borderId="12" fillId="0" fontId="22" numFmtId="164" xfId="0" applyAlignment="1" applyBorder="1" applyFont="1" applyNumberFormat="1">
      <alignment shrinkToFit="0" vertical="bottom" wrapText="0"/>
    </xf>
    <xf borderId="0" fillId="0" fontId="22" numFmtId="164" xfId="0" applyAlignment="1" applyFont="1" applyNumberFormat="1">
      <alignment vertical="bottom"/>
    </xf>
    <xf borderId="12" fillId="0" fontId="24" numFmtId="0" xfId="0" applyAlignment="1" applyBorder="1" applyFont="1">
      <alignment shrinkToFit="0" vertical="bottom" wrapText="0"/>
    </xf>
    <xf borderId="12" fillId="0" fontId="23" numFmtId="0" xfId="0" applyAlignment="1" applyBorder="1" applyFont="1">
      <alignment shrinkToFit="0" vertical="bottom" wrapText="0"/>
    </xf>
    <xf borderId="12" fillId="0" fontId="25" numFmtId="0" xfId="0" applyAlignment="1" applyBorder="1" applyFont="1">
      <alignment shrinkToFit="0" vertical="bottom" wrapText="0"/>
    </xf>
    <xf borderId="12" fillId="13" fontId="26" numFmtId="0" xfId="0" applyAlignment="1" applyBorder="1" applyFill="1" applyFont="1">
      <alignment horizontal="right" shrinkToFit="0" wrapText="0"/>
    </xf>
    <xf borderId="12" fillId="0" fontId="26" numFmtId="0" xfId="0" applyAlignment="1" applyBorder="1" applyFont="1">
      <alignment horizontal="right" shrinkToFit="0" wrapText="0"/>
    </xf>
    <xf borderId="0" fillId="0" fontId="22" numFmtId="0" xfId="0" applyAlignment="1" applyFont="1">
      <alignment shrinkToFit="0" vertical="bottom" wrapText="0"/>
    </xf>
    <xf borderId="12" fillId="0" fontId="26" numFmtId="167" xfId="0" applyAlignment="1" applyBorder="1" applyFont="1" applyNumberFormat="1">
      <alignment horizontal="right" readingOrder="0" shrinkToFit="0" wrapText="0"/>
    </xf>
    <xf borderId="12" fillId="13" fontId="23" numFmtId="166" xfId="0" applyAlignment="1" applyBorder="1" applyFont="1" applyNumberFormat="1">
      <alignment shrinkToFit="0" vertical="bottom" wrapText="0"/>
    </xf>
    <xf borderId="12" fillId="13" fontId="23" numFmtId="0" xfId="0" applyAlignment="1" applyBorder="1" applyFont="1">
      <alignment shrinkToFit="0" vertical="bottom" wrapText="0"/>
    </xf>
    <xf borderId="12" fillId="13" fontId="23" numFmtId="164" xfId="0" applyAlignment="1" applyBorder="1" applyFont="1" applyNumberFormat="1">
      <alignment horizontal="right" shrinkToFit="0" vertical="bottom" wrapText="0"/>
    </xf>
    <xf borderId="0" fillId="13" fontId="27" numFmtId="166" xfId="0" applyAlignment="1" applyFont="1" applyNumberFormat="1">
      <alignment readingOrder="0" shrinkToFit="0" vertical="bottom" wrapText="0"/>
    </xf>
    <xf borderId="0" fillId="13" fontId="23" numFmtId="0" xfId="0" applyAlignment="1" applyFont="1">
      <alignment shrinkToFit="0" vertical="bottom" wrapText="0"/>
    </xf>
    <xf borderId="0" fillId="13" fontId="23" numFmtId="164" xfId="0" applyAlignment="1" applyFont="1" applyNumberFormat="1">
      <alignment horizontal="right" readingOrder="0" shrinkToFit="0" vertical="bottom" wrapText="0"/>
    </xf>
    <xf borderId="12" fillId="0" fontId="26" numFmtId="167" xfId="0" applyAlignment="1" applyBorder="1" applyFont="1" applyNumberFormat="1">
      <alignment horizontal="right" shrinkToFit="0" wrapText="0"/>
    </xf>
    <xf borderId="0" fillId="13" fontId="23" numFmtId="166" xfId="0" applyAlignment="1" applyFont="1" applyNumberFormat="1">
      <alignment readingOrder="0" shrinkToFit="0" vertical="bottom" wrapText="0"/>
    </xf>
    <xf borderId="0" fillId="13" fontId="23" numFmtId="0" xfId="0" applyAlignment="1" applyFont="1">
      <alignment readingOrder="0" shrinkToFit="0" vertical="bottom" wrapText="0"/>
    </xf>
    <xf borderId="0" fillId="13" fontId="23" numFmtId="164" xfId="0" applyAlignment="1" applyFont="1" applyNumberFormat="1">
      <alignment horizontal="right" readingOrder="0" shrinkToFit="0" vertical="bottom" wrapText="0"/>
    </xf>
    <xf borderId="0" fillId="0" fontId="22" numFmtId="167" xfId="0" applyAlignment="1" applyFont="1" applyNumberFormat="1">
      <alignment readingOrder="0" vertical="bottom"/>
    </xf>
    <xf borderId="0" fillId="13" fontId="28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12" fillId="13" fontId="23" numFmtId="0" xfId="0" applyAlignment="1" applyBorder="1" applyFont="1">
      <alignment readingOrder="0" shrinkToFit="0" vertical="bottom" wrapText="0"/>
    </xf>
    <xf borderId="12" fillId="13" fontId="29" numFmtId="0" xfId="0" applyAlignment="1" applyBorder="1" applyFont="1">
      <alignment readingOrder="0" shrinkToFit="0" vertical="bottom" wrapText="0"/>
    </xf>
    <xf borderId="12" fillId="0" fontId="23" numFmtId="0" xfId="0" applyAlignment="1" applyBorder="1" applyFont="1">
      <alignment readingOrder="0" shrinkToFit="0" vertical="bottom" wrapText="0"/>
    </xf>
    <xf borderId="12" fillId="14" fontId="30" numFmtId="0" xfId="0" applyAlignment="1" applyBorder="1" applyFill="1" applyFont="1">
      <alignment horizontal="right" readingOrder="0"/>
    </xf>
    <xf borderId="12" fillId="14" fontId="30" numFmtId="0" xfId="0" applyAlignment="1" applyBorder="1" applyFont="1">
      <alignment horizontal="right" shrinkToFit="0" wrapText="0"/>
    </xf>
    <xf borderId="0" fillId="0" fontId="31" numFmtId="0" xfId="0" applyAlignment="1" applyFont="1">
      <alignment shrinkToFit="0" vertical="bottom" wrapText="0"/>
    </xf>
    <xf borderId="13" fillId="14" fontId="32" numFmtId="166" xfId="0" applyAlignment="1" applyBorder="1" applyFont="1" applyNumberFormat="1">
      <alignment readingOrder="0" shrinkToFit="0" vertical="center" wrapText="0"/>
    </xf>
    <xf borderId="13" fillId="14" fontId="33" numFmtId="0" xfId="0" applyAlignment="1" applyBorder="1" applyFont="1">
      <alignment readingOrder="0" shrinkToFit="0" vertical="center" wrapText="0"/>
    </xf>
    <xf borderId="13" fillId="14" fontId="33" numFmtId="164" xfId="0" applyAlignment="1" applyBorder="1" applyFont="1" applyNumberFormat="1">
      <alignment horizontal="right" readingOrder="0" shrinkToFit="0" vertical="center" wrapText="0"/>
    </xf>
    <xf borderId="0" fillId="0" fontId="27" numFmtId="168" xfId="0" applyAlignment="1" applyFont="1" applyNumberFormat="1">
      <alignment horizontal="right" shrinkToFit="0" vertical="bottom" wrapText="0"/>
    </xf>
    <xf borderId="0" fillId="0" fontId="27" numFmtId="0" xfId="0" applyAlignment="1" applyFont="1">
      <alignment shrinkToFit="0" vertical="bottom" wrapText="0"/>
    </xf>
    <xf borderId="0" fillId="0" fontId="27" numFmtId="164" xfId="0" applyAlignment="1" applyFont="1" applyNumberFormat="1">
      <alignment horizontal="right" shrinkToFit="0" vertical="bottom" wrapText="0"/>
    </xf>
    <xf borderId="0" fillId="0" fontId="22" numFmtId="166" xfId="0" applyAlignment="1" applyFont="1" applyNumberFormat="1">
      <alignment horizontal="right" vertical="bottom"/>
    </xf>
    <xf borderId="0" fillId="0" fontId="22" numFmtId="164" xfId="0" applyAlignment="1" applyFont="1" applyNumberFormat="1">
      <alignment horizontal="right" vertical="bottom"/>
    </xf>
    <xf borderId="12" fillId="13" fontId="26" numFmtId="164" xfId="0" applyAlignment="1" applyBorder="1" applyFont="1" applyNumberFormat="1">
      <alignment horizontal="left" readingOrder="0"/>
    </xf>
    <xf borderId="12" fillId="13" fontId="26" numFmtId="167" xfId="0" applyAlignment="1" applyBorder="1" applyFont="1" applyNumberFormat="1">
      <alignment horizontal="right" readingOrder="0" shrinkToFit="0" wrapText="0"/>
    </xf>
    <xf borderId="12" fillId="0" fontId="26" numFmtId="168" xfId="0" applyAlignment="1" applyBorder="1" applyFont="1" applyNumberFormat="1">
      <alignment horizontal="left" readingOrder="0" shrinkToFit="0" wrapText="0"/>
    </xf>
    <xf borderId="12" fillId="0" fontId="26" numFmtId="0" xfId="0" applyAlignment="1" applyBorder="1" applyFont="1">
      <alignment horizontal="left" readingOrder="0"/>
    </xf>
    <xf borderId="12" fillId="0" fontId="22" numFmtId="167" xfId="0" applyAlignment="1" applyBorder="1" applyFont="1" applyNumberFormat="1">
      <alignment horizontal="right" readingOrder="0" shrinkToFit="0" wrapText="0"/>
    </xf>
    <xf borderId="0" fillId="0" fontId="21" numFmtId="0" xfId="0" applyAlignment="1" applyFont="1">
      <alignment vertical="bottom"/>
    </xf>
    <xf borderId="0" fillId="0" fontId="21" numFmtId="164" xfId="0" applyAlignment="1" applyFont="1" applyNumberFormat="1">
      <alignment vertical="bottom"/>
    </xf>
    <xf borderId="0" fillId="0" fontId="22" numFmtId="0" xfId="0" applyAlignment="1" applyFont="1">
      <alignment horizontal="left" vertical="bottom"/>
    </xf>
    <xf borderId="0" fillId="0" fontId="22" numFmtId="166" xfId="0" applyAlignment="1" applyFont="1" applyNumberFormat="1">
      <alignment horizontal="right" readingOrder="0" vertical="bottom"/>
    </xf>
    <xf borderId="0" fillId="0" fontId="22" numFmtId="0" xfId="0" applyAlignment="1" applyFont="1">
      <alignment readingOrder="0" vertical="bottom"/>
    </xf>
    <xf borderId="0" fillId="0" fontId="22" numFmtId="164" xfId="0" applyAlignment="1" applyFont="1" applyNumberFormat="1">
      <alignment horizontal="right" readingOrder="0" vertical="bottom"/>
    </xf>
    <xf borderId="0" fillId="0" fontId="22" numFmtId="0" xfId="0" applyAlignment="1" applyFont="1">
      <alignment readingOrder="0" vertical="bottom"/>
    </xf>
    <xf borderId="0" fillId="0" fontId="34" numFmtId="0" xfId="0" applyAlignment="1" applyFont="1">
      <alignment readingOrder="0" vertical="bottom"/>
    </xf>
    <xf borderId="0" fillId="0" fontId="26" numFmtId="166" xfId="0" applyAlignment="1" applyFont="1" applyNumberFormat="1">
      <alignment horizontal="left" readingOrder="0" shrinkToFit="0" wrapText="0"/>
    </xf>
    <xf borderId="0" fillId="0" fontId="26" numFmtId="0" xfId="0" applyAlignment="1" applyFont="1">
      <alignment horizontal="left" readingOrder="0"/>
    </xf>
    <xf borderId="0" fillId="0" fontId="26" numFmtId="164" xfId="0" applyAlignment="1" applyFont="1" applyNumberFormat="1">
      <alignment horizontal="right" readingOrder="0" shrinkToFit="0" wrapText="0"/>
    </xf>
    <xf borderId="0" fillId="0" fontId="26" numFmtId="167" xfId="0" applyAlignment="1" applyFont="1" applyNumberFormat="1">
      <alignment horizontal="right" readingOrder="0" shrinkToFit="0" wrapText="0"/>
    </xf>
    <xf borderId="0" fillId="0" fontId="26" numFmtId="0" xfId="0" applyAlignment="1" applyFont="1">
      <alignment horizontal="left" shrinkToFit="0" wrapText="0"/>
    </xf>
    <xf borderId="0" fillId="0" fontId="35" numFmtId="0" xfId="0" applyAlignment="1" applyFont="1">
      <alignment horizontal="left" readingOrder="0"/>
    </xf>
    <xf borderId="13" fillId="0" fontId="26" numFmtId="166" xfId="0" applyAlignment="1" applyBorder="1" applyFont="1" applyNumberFormat="1">
      <alignment horizontal="left" readingOrder="0" shrinkToFit="0" wrapText="0"/>
    </xf>
    <xf borderId="13" fillId="0" fontId="26" numFmtId="0" xfId="0" applyAlignment="1" applyBorder="1" applyFont="1">
      <alignment horizontal="left" readingOrder="0"/>
    </xf>
    <xf borderId="13" fillId="0" fontId="26" numFmtId="164" xfId="0" applyAlignment="1" applyBorder="1" applyFont="1" applyNumberFormat="1">
      <alignment horizontal="right" readingOrder="0" shrinkToFit="0" wrapText="0"/>
    </xf>
    <xf borderId="13" fillId="0" fontId="36" numFmtId="0" xfId="0" applyAlignment="1" applyBorder="1" applyFont="1">
      <alignment horizontal="left" readingOrder="0"/>
    </xf>
    <xf borderId="13" fillId="0" fontId="22" numFmtId="166" xfId="0" applyAlignment="1" applyBorder="1" applyFont="1" applyNumberFormat="1">
      <alignment horizontal="right" readingOrder="0" vertical="bottom"/>
    </xf>
    <xf borderId="13" fillId="0" fontId="22" numFmtId="0" xfId="0" applyAlignment="1" applyBorder="1" applyFont="1">
      <alignment readingOrder="0" vertical="bottom"/>
    </xf>
    <xf borderId="13" fillId="0" fontId="22" numFmtId="164" xfId="0" applyAlignment="1" applyBorder="1" applyFont="1" applyNumberFormat="1">
      <alignment horizontal="right" readingOrder="0" vertical="bottom"/>
    </xf>
    <xf borderId="13" fillId="0" fontId="22" numFmtId="164" xfId="0" applyAlignment="1" applyBorder="1" applyFont="1" applyNumberFormat="1">
      <alignment horizontal="right" readingOrder="0" shrinkToFit="0" wrapText="0"/>
    </xf>
    <xf borderId="13" fillId="14" fontId="32" numFmtId="166" xfId="0" applyAlignment="1" applyBorder="1" applyFont="1" applyNumberFormat="1">
      <alignment readingOrder="0"/>
    </xf>
    <xf borderId="13" fillId="14" fontId="33" numFmtId="0" xfId="0" applyAlignment="1" applyBorder="1" applyFont="1">
      <alignment readingOrder="0" shrinkToFit="0" wrapText="0"/>
    </xf>
    <xf borderId="13" fillId="14" fontId="33" numFmtId="164" xfId="0" applyAlignment="1" applyBorder="1" applyFont="1" applyNumberFormat="1">
      <alignment horizontal="right" readingOrder="0"/>
    </xf>
    <xf borderId="12" fillId="14" fontId="37" numFmtId="166" xfId="0" applyAlignment="1" applyBorder="1" applyFont="1" applyNumberFormat="1">
      <alignment readingOrder="0"/>
    </xf>
    <xf borderId="12" fillId="14" fontId="38" numFmtId="0" xfId="0" applyAlignment="1" applyBorder="1" applyFont="1">
      <alignment readingOrder="0" shrinkToFit="0" wrapText="0"/>
    </xf>
    <xf borderId="12" fillId="14" fontId="38" numFmtId="164" xfId="0" applyAlignment="1" applyBorder="1" applyFont="1" applyNumberFormat="1">
      <alignment horizontal="right" readingOrder="0"/>
    </xf>
    <xf borderId="12" fillId="0" fontId="22" numFmtId="0" xfId="0" applyAlignment="1" applyBorder="1" applyFont="1">
      <alignment vertical="bottom"/>
    </xf>
    <xf borderId="12" fillId="0" fontId="22" numFmtId="0" xfId="0" applyAlignment="1" applyBorder="1" applyFont="1">
      <alignment horizontal="left" vertical="bottom"/>
    </xf>
    <xf borderId="12" fillId="14" fontId="32" numFmtId="166" xfId="0" applyAlignment="1" applyBorder="1" applyFont="1" applyNumberFormat="1">
      <alignment readingOrder="0"/>
    </xf>
    <xf borderId="12" fillId="14" fontId="33" numFmtId="0" xfId="0" applyAlignment="1" applyBorder="1" applyFont="1">
      <alignment readingOrder="0" shrinkToFit="0" wrapText="0"/>
    </xf>
    <xf borderId="12" fillId="14" fontId="33" numFmtId="164" xfId="0" applyAlignment="1" applyBorder="1" applyFont="1" applyNumberFormat="1">
      <alignment horizontal="right" readingOrder="0"/>
    </xf>
    <xf borderId="12" fillId="0" fontId="26" numFmtId="166" xfId="0" applyAlignment="1" applyBorder="1" applyFont="1" applyNumberFormat="1">
      <alignment horizontal="left" readingOrder="0" shrinkToFit="0" wrapText="0"/>
    </xf>
    <xf borderId="12" fillId="0" fontId="26" numFmtId="164" xfId="0" applyAlignment="1" applyBorder="1" applyFont="1" applyNumberFormat="1">
      <alignment horizontal="right" readingOrder="0" shrinkToFit="0" wrapText="0"/>
    </xf>
    <xf borderId="12" fillId="0" fontId="26" numFmtId="0" xfId="0" applyAlignment="1" applyBorder="1" applyFont="1">
      <alignment horizontal="left" shrinkToFit="0" wrapText="0"/>
    </xf>
    <xf borderId="12" fillId="0" fontId="39" numFmtId="0" xfId="0" applyAlignment="1" applyBorder="1" applyFont="1">
      <alignment horizontal="left" readingOrder="0"/>
    </xf>
    <xf borderId="12" fillId="15" fontId="32" numFmtId="166" xfId="0" applyAlignment="1" applyBorder="1" applyFill="1" applyFont="1" applyNumberFormat="1">
      <alignment readingOrder="0"/>
    </xf>
    <xf borderId="12" fillId="15" fontId="33" numFmtId="0" xfId="0" applyAlignment="1" applyBorder="1" applyFont="1">
      <alignment readingOrder="0" shrinkToFit="0" wrapText="0"/>
    </xf>
    <xf borderId="12" fillId="15" fontId="33" numFmtId="164" xfId="0" applyAlignment="1" applyBorder="1" applyFont="1" applyNumberFormat="1">
      <alignment horizontal="right" readingOrder="0"/>
    </xf>
    <xf borderId="13" fillId="15" fontId="32" numFmtId="166" xfId="0" applyAlignment="1" applyBorder="1" applyFont="1" applyNumberFormat="1">
      <alignment readingOrder="0"/>
    </xf>
    <xf borderId="13" fillId="15" fontId="33" numFmtId="0" xfId="0" applyAlignment="1" applyBorder="1" applyFont="1">
      <alignment readingOrder="0" shrinkToFit="0" wrapText="0"/>
    </xf>
    <xf borderId="13" fillId="15" fontId="33" numFmtId="164" xfId="0" applyAlignment="1" applyBorder="1" applyFont="1" applyNumberFormat="1">
      <alignment horizontal="right" readingOrder="0"/>
    </xf>
    <xf borderId="13" fillId="14" fontId="37" numFmtId="166" xfId="0" applyAlignment="1" applyBorder="1" applyFont="1" applyNumberFormat="1">
      <alignment readingOrder="0"/>
    </xf>
    <xf borderId="13" fillId="14" fontId="38" numFmtId="0" xfId="0" applyAlignment="1" applyBorder="1" applyFont="1">
      <alignment readingOrder="0" shrinkToFit="0" wrapText="0"/>
    </xf>
    <xf borderId="13" fillId="14" fontId="38" numFmtId="164" xfId="0" applyAlignment="1" applyBorder="1" applyFont="1" applyNumberFormat="1">
      <alignment horizontal="right" readingOrder="0"/>
    </xf>
    <xf borderId="12" fillId="13" fontId="26" numFmtId="166" xfId="0" applyAlignment="1" applyBorder="1" applyFont="1" applyNumberFormat="1">
      <alignment horizontal="left" readingOrder="0" shrinkToFit="0" wrapText="0"/>
    </xf>
    <xf borderId="12" fillId="13" fontId="26" numFmtId="0" xfId="0" applyAlignment="1" applyBorder="1" applyFont="1">
      <alignment horizontal="left" readingOrder="0"/>
    </xf>
    <xf borderId="12" fillId="13" fontId="26" numFmtId="164" xfId="0" applyAlignment="1" applyBorder="1" applyFont="1" applyNumberFormat="1">
      <alignment horizontal="right" readingOrder="0" shrinkToFit="0" wrapText="0"/>
    </xf>
    <xf borderId="12" fillId="0" fontId="22" numFmtId="164" xfId="0" applyAlignment="1" applyBorder="1" applyFont="1" applyNumberFormat="1">
      <alignment horizontal="right" readingOrder="0" shrinkToFit="0" wrapText="0"/>
    </xf>
    <xf borderId="0" fillId="14" fontId="40" numFmtId="166" xfId="0" applyFont="1" applyNumberFormat="1"/>
    <xf borderId="0" fillId="0" fontId="18" numFmtId="0" xfId="0" applyAlignment="1" applyFont="1">
      <alignment horizontal="left"/>
    </xf>
    <xf borderId="12" fillId="0" fontId="23" numFmtId="166" xfId="0" applyAlignment="1" applyBorder="1" applyFont="1" applyNumberFormat="1">
      <alignment vertical="bottom"/>
    </xf>
    <xf borderId="12" fillId="0" fontId="23" numFmtId="0" xfId="0" applyAlignment="1" applyBorder="1" applyFont="1">
      <alignment vertical="bottom"/>
    </xf>
    <xf borderId="12" fillId="0" fontId="23" numFmtId="164" xfId="0" applyAlignment="1" applyBorder="1" applyFont="1" applyNumberFormat="1">
      <alignment horizontal="right" vertical="bottom"/>
    </xf>
    <xf borderId="0" fillId="0" fontId="26" numFmtId="0" xfId="0" applyAlignment="1" applyFont="1">
      <alignment horizontal="right" shrinkToFit="0" wrapText="0"/>
    </xf>
    <xf borderId="13" fillId="0" fontId="23" numFmtId="164" xfId="0" applyAlignment="1" applyBorder="1" applyFont="1" applyNumberFormat="1">
      <alignment horizontal="right" vertical="bottom"/>
    </xf>
    <xf borderId="13" fillId="13" fontId="23" numFmtId="166" xfId="0" applyAlignment="1" applyBorder="1" applyFont="1" applyNumberFormat="1">
      <alignment vertical="bottom"/>
    </xf>
    <xf borderId="13" fillId="13" fontId="23" numFmtId="0" xfId="0" applyAlignment="1" applyBorder="1" applyFont="1">
      <alignment vertical="bottom"/>
    </xf>
    <xf borderId="13" fillId="0" fontId="23" numFmtId="166" xfId="0" applyAlignment="1" applyBorder="1" applyFont="1" applyNumberFormat="1">
      <alignment vertical="bottom"/>
    </xf>
    <xf borderId="13" fillId="0" fontId="23" numFmtId="0" xfId="0" applyAlignment="1" applyBorder="1" applyFont="1">
      <alignment vertical="bottom"/>
    </xf>
    <xf borderId="0" fillId="13" fontId="26" numFmtId="0" xfId="0" applyAlignment="1" applyFont="1">
      <alignment horizontal="right" shrinkToFit="0" wrapText="0"/>
    </xf>
    <xf borderId="12" fillId="14" fontId="32" numFmtId="169" xfId="0" applyAlignment="1" applyBorder="1" applyFont="1" applyNumberFormat="1">
      <alignment readingOrder="0"/>
    </xf>
    <xf borderId="12" fillId="0" fontId="22" numFmtId="0" xfId="0" applyAlignment="1" applyBorder="1" applyFont="1">
      <alignment readingOrder="0" vertical="bottom"/>
    </xf>
    <xf borderId="12" fillId="14" fontId="32" numFmtId="170" xfId="0" applyAlignment="1" applyBorder="1" applyFont="1" applyNumberFormat="1">
      <alignment readingOrder="0"/>
    </xf>
    <xf borderId="0" fillId="14" fontId="40" numFmtId="166" xfId="0" applyAlignment="1" applyFont="1" applyNumberFormat="1">
      <alignment readingOrder="0"/>
    </xf>
    <xf borderId="12" fillId="0" fontId="22" numFmtId="166" xfId="0" applyAlignment="1" applyBorder="1" applyFont="1" applyNumberFormat="1">
      <alignment horizontal="right" readingOrder="0" vertical="bottom"/>
    </xf>
    <xf borderId="12" fillId="0" fontId="22" numFmtId="0" xfId="0" applyAlignment="1" applyBorder="1" applyFont="1">
      <alignment readingOrder="0" vertical="bottom"/>
    </xf>
    <xf borderId="12" fillId="0" fontId="22" numFmtId="164" xfId="0" applyAlignment="1" applyBorder="1" applyFont="1" applyNumberFormat="1">
      <alignment horizontal="right" readingOrder="0" vertical="bottom"/>
    </xf>
    <xf borderId="12" fillId="13" fontId="41" numFmtId="0" xfId="0" applyAlignment="1" applyBorder="1" applyFont="1">
      <alignment horizontal="left" readingOrder="0"/>
    </xf>
    <xf borderId="0" fillId="0" fontId="4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an - 2026 (CC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200">
                <a:solidFill>
                  <a:schemeClr val="accent1"/>
                </a:solidFill>
                <a:latin typeface="Arial"/>
              </a:defRPr>
            </a:pPr>
            <a:r>
              <a:rPr b="0" i="0" sz="2200">
                <a:solidFill>
                  <a:schemeClr val="accent1"/>
                </a:solidFill>
                <a:latin typeface="Arial"/>
              </a:rPr>
              <a:t>Current Year Budget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Summary!$B$3:$B$4</c:f>
            </c:strRef>
          </c:cat>
          <c:val>
            <c:numRef>
              <c:f>Summary!$P$3:$P$4</c:f>
              <c:numCache/>
            </c:numRef>
          </c:val>
        </c:ser>
        <c:axId val="1558065662"/>
        <c:axId val="260373535"/>
      </c:barChart>
      <c:catAx>
        <c:axId val="15580656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260373535"/>
      </c:catAx>
      <c:valAx>
        <c:axId val="2603735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1558065662"/>
        <c:crosses val="max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238125</xdr:rowOff>
    </xdr:from>
    <xdr:ext cx="15621000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986" sheet="Jan - 2026 (CC)"/>
  </cacheSource>
  <cacheFields>
    <cacheField name=" AMOUNT " numFmtId="164">
      <sharedItems containsString="0" containsBlank="1" containsNumber="1">
        <n v="82.39"/>
        <n v="1.7"/>
        <n v="79.1"/>
        <n v="57.5"/>
        <n v="45.71"/>
        <n v="66.14"/>
        <n v="27.22"/>
        <n v="13.54"/>
        <n v="26.99"/>
        <n v="3.38"/>
        <n v="152.55"/>
        <n v="135.51"/>
        <n v="15.93"/>
        <n v="28.97"/>
        <n v="28.24"/>
        <n v="10.16"/>
        <n v="121.41"/>
        <n v="9.03"/>
        <n v="34.0"/>
        <n v="6.5"/>
        <n v="35.99"/>
        <n v="6.2"/>
        <n v="67.98"/>
        <n v="47.41"/>
        <n v="50.0"/>
        <n v="14.3"/>
        <n v="15.52"/>
        <n v="1.12"/>
        <n v="4.51"/>
        <n v="16.94"/>
        <n v="12.99"/>
        <n v="12.41"/>
        <n v="6.77"/>
        <n v="133.6"/>
        <n v="139.67"/>
        <n v="11.29"/>
        <n v="80.0"/>
        <n v="80.62"/>
        <n v="16.68"/>
        <n v="5.9"/>
        <n v="-4832.24"/>
        <n v="245.02"/>
        <n v="11.74"/>
        <n v="107.35"/>
        <n v="20.22"/>
        <n v="135.15"/>
        <n v="20.81"/>
        <n v="43.16"/>
        <n v="14.68"/>
        <n v="235.0"/>
        <n v="38.65"/>
        <n v="30.29"/>
        <n v="45.2"/>
        <n v="184.86"/>
        <n v="113.03"/>
        <n v="22.88"/>
        <n v="30.51"/>
        <n v="46.93"/>
        <n v="10.71"/>
        <n v="38.44"/>
        <n v="242.66"/>
        <n v="18.89"/>
        <n v="34.41"/>
        <n v="22.37"/>
        <n v="50.04"/>
        <n v="21.11"/>
        <n v="540.01"/>
        <n v="130.0"/>
        <n v="22.58"/>
        <n v="1670.13"/>
        <n v="31.31"/>
        <n v="13.55"/>
        <n v="47.06"/>
        <n v="350.17"/>
        <n v="13.0"/>
        <n v="170.0"/>
        <n v="169.49"/>
        <n v="117.24"/>
        <n v="24.28"/>
        <n v="86.42"/>
        <n v="68.0"/>
        <n v="-2980.92"/>
        <n v="24.21"/>
        <n v="52.39"/>
        <n v="67.26"/>
        <n v="250.0"/>
        <n v="133.33"/>
        <m/>
      </sharedItems>
    </cacheField>
    <cacheField name="CATEGORY" numFmtId="0">
      <sharedItems containsBlank="1">
        <s v="COFFEE"/>
        <s v="PRIME VIDEO SUB"/>
        <s v="INTERNET"/>
        <s v="HEALTH &amp; BEAUTY"/>
        <s v="TAKE OUT"/>
        <s v="ENTERTAINMENT"/>
        <s v="CAR"/>
        <s v="GAS"/>
        <s v="HOME"/>
        <s v="MISC"/>
        <s v="DAY CARE"/>
        <s v="APPLE SUB"/>
        <s v="GROCERIES"/>
        <s v="PET FOOD/TOYS"/>
        <s v="CANNABIS"/>
        <s v="CHARITY"/>
        <s v="TRAVEL"/>
        <s v="PAYMENT"/>
        <s v="NEWSPAPERS"/>
        <s v="SPOTIFY SUB"/>
        <s v="MOBILE"/>
        <s v="GIFTS"/>
        <s v="TELUS SECURITY"/>
        <s v="CLOTHES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D988" sheet="Feb - 2026 (CC)"/>
  </cacheSource>
  <cacheFields>
    <cacheField name="ITEM" numFmtId="0">
      <sharedItems containsBlank="1">
        <s v="NESTLÉ CANADA INC TORONTO"/>
        <s v="PLAYSTATION NETWORK 877-971-7669"/>
        <s v="Pay Balance with Points"/>
        <s v="Amazon Channels"/>
        <s v="FOREST OF FLOWERS"/>
        <s v="FARM BOY ONLINE WS"/>
        <s v="START CA"/>
        <s v="NIKU FARMS 647-5787639"/>
        <s v="MARSHALLS 716"/>
        <s v="COUNTRY PAWS BOARDING 2 LONDON"/>
        <s v="ODD BUNCH"/>
        <s v="Ad free for PrimeVideo"/>
        <s v="SQ *THE WHOLE GRAIN HEART"/>
        <s v="SP HYLAND CINEMA"/>
        <s v="WWW.PERPLEXITY.AI"/>
        <s v="McDonalds 1501"/>
        <s v="APPLE.COM/BILL"/>
        <s v="ELLIES PIZZERIA"/>
        <s v="APPLE INC."/>
        <s v="SQ *SALT AND SWINE"/>
        <s v="TST-Forked River Brewi"/>
        <s v="CDNCANCERSOC-FRUP"/>
        <s v="PET VALU #2027"/>
        <s v="METRO 150"/>
        <s v="Membership Fee"/>
        <s v="SP ODDBUNCH LONDON"/>
        <s v="LONDON CURLING CLUB"/>
        <s v="UBER EATS HTTPS://HELP.UB"/>
        <s v="FRESHCO #9863 LONDON LONDON"/>
        <s v="PAYMENT RECEIVED - THANK YOU"/>
        <s v="SHOPPERS DRUG MART #114 LONDON"/>
        <s v="THE POACHERS ARMS LONDON"/>
        <s v="Amazon.ca Prime Member"/>
        <s v="SWISS CHALET #1135E"/>
        <s v="COUSIN VINNYS PIZZA LONDON"/>
        <s v="TELUS MOBILITY PREAUTH CALGARY"/>
        <s v="UBER TRIP HTTPS://HELP.UB"/>
        <s v="HYLAND CINEMA INC. LONDON"/>
        <s v="FCSSC"/>
        <s v="TREMBLETT'S YIG 7962"/>
        <s v="SHELL C02231 LONDON"/>
        <s v="WENDYS 114 LONDON"/>
        <s v="SPOTIFY STOCKHOLM"/>
        <s v="THE WHOLE GRAIN HEARTH London"/>
        <s v="ARCHIES SEAFOOD REST"/>
        <s v="BUILD A BOWL SOUTH LONDON"/>
        <s v="TELUS PRE-AUTH PAYMENT"/>
        <s v="METRO 150 LONDON"/>
        <s v="SECURITY NATIONAL INSU MONTREAL"/>
        <s v="LOCOMOTIVE ESPRESSO NOR London"/>
        <s v="CINEPLEX #8030 WEB QP TORONTO"/>
        <s v="PIONEER 43368"/>
        <s v="PAYMENT - THANK YOU"/>
        <s v="CINEPLEX 7112 QPS"/>
        <s v="ABE ERB"/>
        <m/>
      </sharedItems>
    </cacheField>
    <cacheField name=" AMOUNT " numFmtId="164">
      <sharedItems containsString="0" containsBlank="1" containsNumber="1">
        <n v="122.76"/>
        <n v="120.33"/>
        <n v="-81.06"/>
        <n v="6.77"/>
        <n v="90.39"/>
        <n v="99.99"/>
        <n v="79.1"/>
        <n v="-122.46"/>
        <n v="29.18"/>
        <n v="32.19"/>
        <n v="35.99"/>
        <n v="3.38"/>
        <n v="16.68"/>
        <n v="40.0"/>
        <n v="15.86"/>
        <n v="24.39"/>
        <n v="10.16"/>
        <n v="52.56"/>
        <n v="40.8"/>
        <n v="65.46"/>
        <n v="-7.0"/>
        <n v="37.28"/>
        <n v="50.0"/>
        <n v="158.08"/>
        <n v="54.43"/>
        <n v="1.12"/>
        <n v="4.51"/>
        <n v="12.99"/>
        <n v="6.5"/>
        <n v="55.08"/>
        <n v="17.41"/>
        <n v="49.13"/>
        <n v="27.19"/>
        <n v="-2500.0"/>
        <n v="56.49"/>
        <n v="24.0"/>
        <n v="11.29"/>
        <n v="59.49"/>
        <n v="6.95"/>
        <n v="-2394.47"/>
        <n v="171.31"/>
        <n v="13.56"/>
        <n v="52.0"/>
        <n v="350.3"/>
        <n v="16.38"/>
        <n v="50.44"/>
        <n v="14.91"/>
        <n v="20.22"/>
        <n v="15.52"/>
        <n v="14.68"/>
        <n v="45.28"/>
        <n v="69.16"/>
        <n v="45.2"/>
        <n v="26.56"/>
        <n v="151.61"/>
        <n v="169.01"/>
        <n v="-46.23"/>
        <n v="14.23"/>
        <n v="7.09"/>
        <n v="44.43"/>
        <n v="3.0"/>
        <n v="170.0"/>
        <n v="15.95"/>
        <n v="52.92"/>
        <n v="39.51"/>
        <n v="-2777.22"/>
        <n v="38.15"/>
        <n v="10.71"/>
        <n v="3.39"/>
        <n v="142.1"/>
        <m/>
      </sharedItems>
    </cacheField>
    <cacheField name="CATEGORY" numFmtId="0">
      <sharedItems containsBlank="1">
        <s v="COFFEE"/>
        <s v="ENTERTAINMENT"/>
        <s v="PAYMENT"/>
        <s v="PRIME VIDEO SUB"/>
        <s v="GIFTS"/>
        <s v="INTERNET"/>
        <s v="CLOTHES"/>
        <s v="DAY CARE"/>
        <s v="GROCERIES"/>
        <s v="MISC"/>
        <s v="TAKE OUT"/>
        <s v="APPLE SUB"/>
        <s v="ALCOHOL"/>
        <s v="CHARITY"/>
        <s v="PET FOOD/TOYS"/>
        <s v="HEALTH &amp; BEAUTY"/>
        <s v="MOBILE"/>
        <s v="UBER"/>
        <s v="GAS"/>
        <s v="SPOTIFY SUB"/>
        <s v="TELUS SECURITY"/>
        <s v="INSURANCE"/>
        <s v="DINE IN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Jan - 2026 (CC)" cacheId="0" dataCaption="" compact="0" compactData="0">
  <location ref="F6:G32" firstHeaderRow="0" firstDataRow="1" firstDataCol="0"/>
  <pivotFields>
    <pivotField name=" AMOUNT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CATEGORY" axis="axisRow" compact="0" outline="0" multipleItemSelectionAllowed="1" showAll="0" sortType="ascending">
      <items>
        <item x="24"/>
        <item x="11"/>
        <item x="14"/>
        <item x="6"/>
        <item x="15"/>
        <item x="23"/>
        <item x="0"/>
        <item x="10"/>
        <item x="5"/>
        <item x="7"/>
        <item x="21"/>
        <item x="12"/>
        <item x="3"/>
        <item x="8"/>
        <item x="2"/>
        <item x="9"/>
        <item x="20"/>
        <item x="18"/>
        <item x="17"/>
        <item x="13"/>
        <item x="1"/>
        <item x="19"/>
        <item x="4"/>
        <item x="22"/>
        <item x="16"/>
        <item t="default"/>
      </items>
    </pivotField>
  </pivotFields>
  <rowFields>
    <field x="1"/>
  </rowFields>
  <dataFields>
    <dataField name="SUM of  AMOUNT " fld="0" baseField="0"/>
  </dataFields>
</pivotTableDefinition>
</file>

<file path=xl/pivotTables/pivotTable2.xml><?xml version="1.0" encoding="utf-8"?>
<pivotTableDefinition xmlns="http://schemas.openxmlformats.org/spreadsheetml/2006/main" name="Feb - 2026 (CC)" cacheId="1" dataCaption="" compact="0" compactData="0">
  <location ref="F3:G28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 AMOUNT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ATEGORY" axis="axisRow" compact="0" outline="0" multipleItemSelectionAllowed="1" showAll="0" sortType="ascending">
      <items>
        <item x="23"/>
        <item x="12"/>
        <item x="11"/>
        <item x="13"/>
        <item x="6"/>
        <item x="0"/>
        <item x="7"/>
        <item x="22"/>
        <item x="1"/>
        <item x="18"/>
        <item x="4"/>
        <item x="8"/>
        <item x="15"/>
        <item x="21"/>
        <item x="5"/>
        <item x="9"/>
        <item x="16"/>
        <item x="2"/>
        <item x="14"/>
        <item x="3"/>
        <item x="19"/>
        <item x="10"/>
        <item x="20"/>
        <item x="17"/>
        <item t="default"/>
      </items>
    </pivotField>
  </pivotFields>
  <rowFields>
    <field x="2"/>
  </rowFields>
  <dataFields>
    <dataField name="SUM of  AMOUNT " fld="1" baseField="0"/>
  </dataFields>
</pivotTableDefinition>
</file>

<file path=xl/tables/table1.xml><?xml version="1.0" encoding="utf-8"?>
<table xmlns="http://schemas.openxmlformats.org/spreadsheetml/2006/main" ref="A1:D97" displayName="Table1" name="Table1" id="1">
  <tableColumns count="4">
    <tableColumn name="DATE" id="1"/>
    <tableColumn name="ITEM" id="2"/>
    <tableColumn name="AMOUNT" id="3"/>
    <tableColumn name="CATEGORY" id="4"/>
  </tableColumns>
  <tableStyleInfo name="Jan - 2026 (CC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www.perplexity.ai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photogov.com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www.perplexity.ai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perplexity.ai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ohbombayrestaurant.com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 fitToPage="1"/>
  </sheetPr>
  <sheetViews>
    <sheetView showGridLines="0" workbookViewId="0"/>
  </sheetViews>
  <sheetFormatPr customHeight="1" defaultColWidth="11.22" defaultRowHeight="15.0"/>
  <cols>
    <col customWidth="1" min="1" max="1" width="3.67"/>
    <col customWidth="1" min="2" max="2" width="36.0"/>
    <col customWidth="1" min="3" max="14" width="12.67"/>
    <col customWidth="1" min="15" max="15" width="3.0"/>
    <col customWidth="1" min="16" max="16" width="15.0"/>
    <col customWidth="1" min="17" max="17" width="3.67"/>
    <col customWidth="1" min="18" max="18" width="3.33"/>
    <col customWidth="1" min="19" max="26" width="10.44"/>
  </cols>
  <sheetData>
    <row r="1" ht="20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4.5" customHeight="1">
      <c r="A2" s="1"/>
      <c r="B2" s="2">
        <v>2026.0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4"/>
      <c r="P2" s="5" t="s">
        <v>12</v>
      </c>
      <c r="Q2" s="4"/>
      <c r="R2" s="1"/>
    </row>
    <row r="3" ht="21.75" customHeight="1">
      <c r="A3" s="1"/>
      <c r="B3" s="6" t="s">
        <v>13</v>
      </c>
      <c r="C3" s="7">
        <f t="shared" ref="C3:N3" si="1">C12</f>
        <v>13306.08</v>
      </c>
      <c r="D3" s="7">
        <f t="shared" si="1"/>
        <v>10153.24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0</v>
      </c>
      <c r="M3" s="7">
        <f t="shared" si="1"/>
        <v>0</v>
      </c>
      <c r="N3" s="7">
        <f t="shared" si="1"/>
        <v>0</v>
      </c>
      <c r="O3" s="4"/>
      <c r="P3" s="8">
        <f>P12</f>
        <v>23459.32</v>
      </c>
      <c r="Q3" s="4"/>
      <c r="R3" s="1"/>
    </row>
    <row r="4" ht="21.75" customHeight="1">
      <c r="A4" s="1"/>
      <c r="B4" s="9" t="s">
        <v>14</v>
      </c>
      <c r="C4" s="7">
        <f t="shared" ref="C4:N4" si="2">C40</f>
        <v>13533.54</v>
      </c>
      <c r="D4" s="7">
        <f t="shared" si="2"/>
        <v>7370.03</v>
      </c>
      <c r="E4" s="7">
        <f t="shared" si="2"/>
        <v>3026.33</v>
      </c>
      <c r="F4" s="7">
        <f t="shared" si="2"/>
        <v>2968.33</v>
      </c>
      <c r="G4" s="7">
        <f t="shared" si="2"/>
        <v>2968.33</v>
      </c>
      <c r="H4" s="7">
        <f t="shared" si="2"/>
        <v>2968.33</v>
      </c>
      <c r="I4" s="7">
        <f t="shared" si="2"/>
        <v>2968.33</v>
      </c>
      <c r="J4" s="7">
        <f t="shared" si="2"/>
        <v>3263.53</v>
      </c>
      <c r="K4" s="7">
        <f t="shared" si="2"/>
        <v>3263.53</v>
      </c>
      <c r="L4" s="7">
        <f t="shared" si="2"/>
        <v>3263.53</v>
      </c>
      <c r="M4" s="7">
        <f t="shared" si="2"/>
        <v>3263.53</v>
      </c>
      <c r="N4" s="7">
        <f t="shared" si="2"/>
        <v>3263.53</v>
      </c>
      <c r="O4" s="4"/>
      <c r="P4" s="8">
        <f>P40</f>
        <v>52120.87</v>
      </c>
      <c r="Q4" s="4"/>
      <c r="R4" s="1"/>
    </row>
    <row r="5" ht="21.75" customHeight="1">
      <c r="A5" s="1"/>
      <c r="B5" s="9" t="s">
        <v>15</v>
      </c>
      <c r="C5" s="7">
        <f t="shared" ref="C5:N5" si="3">C3-C4</f>
        <v>-227.46</v>
      </c>
      <c r="D5" s="7">
        <f t="shared" si="3"/>
        <v>2783.21</v>
      </c>
      <c r="E5" s="7">
        <f t="shared" si="3"/>
        <v>-3026.33</v>
      </c>
      <c r="F5" s="7">
        <f t="shared" si="3"/>
        <v>-2968.33</v>
      </c>
      <c r="G5" s="7">
        <f t="shared" si="3"/>
        <v>-2968.33</v>
      </c>
      <c r="H5" s="7">
        <f t="shared" si="3"/>
        <v>-2968.33</v>
      </c>
      <c r="I5" s="7">
        <f t="shared" si="3"/>
        <v>-2968.33</v>
      </c>
      <c r="J5" s="7">
        <f t="shared" si="3"/>
        <v>-3263.53</v>
      </c>
      <c r="K5" s="7">
        <f t="shared" si="3"/>
        <v>-3263.53</v>
      </c>
      <c r="L5" s="7">
        <f t="shared" si="3"/>
        <v>-3263.53</v>
      </c>
      <c r="M5" s="7">
        <f t="shared" si="3"/>
        <v>-3263.53</v>
      </c>
      <c r="N5" s="7">
        <f t="shared" si="3"/>
        <v>-3263.53</v>
      </c>
      <c r="O5" s="4"/>
      <c r="P5" s="8">
        <f>P3-P4</f>
        <v>-28661.55</v>
      </c>
      <c r="Q5" s="4"/>
      <c r="R5" s="1"/>
    </row>
    <row r="6" ht="32.25" customHeight="1">
      <c r="A6" s="1"/>
      <c r="B6" s="10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1"/>
    </row>
    <row r="7" ht="21.75" customHeight="1">
      <c r="A7" s="11"/>
      <c r="B7" s="12" t="s">
        <v>17</v>
      </c>
      <c r="C7" s="13" t="s">
        <v>0</v>
      </c>
      <c r="D7" s="13" t="s">
        <v>1</v>
      </c>
      <c r="E7" s="13" t="s">
        <v>2</v>
      </c>
      <c r="F7" s="13" t="s">
        <v>3</v>
      </c>
      <c r="G7" s="13" t="s">
        <v>4</v>
      </c>
      <c r="H7" s="13" t="s">
        <v>5</v>
      </c>
      <c r="I7" s="13" t="s">
        <v>6</v>
      </c>
      <c r="J7" s="13" t="s">
        <v>7</v>
      </c>
      <c r="K7" s="13" t="s">
        <v>8</v>
      </c>
      <c r="L7" s="13" t="s">
        <v>9</v>
      </c>
      <c r="M7" s="13" t="s">
        <v>10</v>
      </c>
      <c r="N7" s="13" t="s">
        <v>11</v>
      </c>
      <c r="O7" s="14" t="s">
        <v>18</v>
      </c>
      <c r="P7" s="15"/>
      <c r="Q7" s="16"/>
      <c r="R7" s="11"/>
      <c r="S7" s="17"/>
      <c r="T7" s="17"/>
      <c r="U7" s="17"/>
      <c r="V7" s="17"/>
      <c r="W7" s="17"/>
      <c r="X7" s="17"/>
      <c r="Y7" s="17"/>
      <c r="Z7" s="17"/>
    </row>
    <row r="8" ht="15.75" customHeight="1">
      <c r="A8" s="18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8"/>
    </row>
    <row r="9" ht="15.75" customHeight="1">
      <c r="A9" s="21"/>
      <c r="B9" s="22" t="s">
        <v>19</v>
      </c>
      <c r="C9" s="23">
        <f>2884.57+6210.85</f>
        <v>9095.42</v>
      </c>
      <c r="D9" s="24">
        <f>2884.57+2793.24</f>
        <v>5677.81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5"/>
      <c r="P9" s="26">
        <f t="shared" ref="P9:P10" si="4">SUM(C9:N9)</f>
        <v>14773.23</v>
      </c>
      <c r="Q9" s="25"/>
      <c r="R9" s="21"/>
    </row>
    <row r="10" ht="15.75" customHeight="1">
      <c r="A10" s="21"/>
      <c r="B10" s="22" t="s">
        <v>20</v>
      </c>
      <c r="C10" s="23">
        <f>2089.05+2121.61</f>
        <v>4210.66</v>
      </c>
      <c r="D10" s="24">
        <f>2121.61+2353.82</f>
        <v>4475.43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5"/>
      <c r="P10" s="26">
        <f t="shared" si="4"/>
        <v>8686.09</v>
      </c>
      <c r="Q10" s="25"/>
      <c r="R10" s="21"/>
    </row>
    <row r="11" ht="15.75" customHeight="1">
      <c r="A11" s="27"/>
      <c r="B11" s="28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7"/>
    </row>
    <row r="12" ht="21.75" customHeight="1">
      <c r="A12" s="1"/>
      <c r="B12" s="29" t="s">
        <v>13</v>
      </c>
      <c r="C12" s="30">
        <f t="shared" ref="C12:N12" si="5">SUM(C9:C10)</f>
        <v>13306.08</v>
      </c>
      <c r="D12" s="30">
        <f t="shared" si="5"/>
        <v>10153.24</v>
      </c>
      <c r="E12" s="30">
        <f t="shared" si="5"/>
        <v>0</v>
      </c>
      <c r="F12" s="30">
        <f t="shared" si="5"/>
        <v>0</v>
      </c>
      <c r="G12" s="30">
        <f t="shared" si="5"/>
        <v>0</v>
      </c>
      <c r="H12" s="30">
        <f t="shared" si="5"/>
        <v>0</v>
      </c>
      <c r="I12" s="30">
        <f t="shared" si="5"/>
        <v>0</v>
      </c>
      <c r="J12" s="30">
        <f t="shared" si="5"/>
        <v>0</v>
      </c>
      <c r="K12" s="30">
        <f t="shared" si="5"/>
        <v>0</v>
      </c>
      <c r="L12" s="30">
        <f t="shared" si="5"/>
        <v>0</v>
      </c>
      <c r="M12" s="30">
        <f t="shared" si="5"/>
        <v>0</v>
      </c>
      <c r="N12" s="30">
        <f t="shared" si="5"/>
        <v>0</v>
      </c>
      <c r="O12" s="31"/>
      <c r="P12" s="30">
        <f>SUM(C12:N12)</f>
        <v>23459.32</v>
      </c>
      <c r="Q12" s="31"/>
      <c r="R12" s="1"/>
    </row>
    <row r="13" ht="15.0" customHeight="1">
      <c r="A13" s="1"/>
      <c r="B13" s="3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"/>
    </row>
    <row r="14" ht="21.75" customHeight="1">
      <c r="A14" s="11"/>
      <c r="B14" s="33" t="s">
        <v>21</v>
      </c>
      <c r="C14" s="13" t="s">
        <v>0</v>
      </c>
      <c r="D14" s="13" t="s">
        <v>1</v>
      </c>
      <c r="E14" s="13" t="s">
        <v>2</v>
      </c>
      <c r="F14" s="13" t="s">
        <v>3</v>
      </c>
      <c r="G14" s="13" t="s">
        <v>4</v>
      </c>
      <c r="H14" s="13" t="s">
        <v>5</v>
      </c>
      <c r="I14" s="13" t="s">
        <v>6</v>
      </c>
      <c r="J14" s="13" t="s">
        <v>7</v>
      </c>
      <c r="K14" s="13" t="s">
        <v>8</v>
      </c>
      <c r="L14" s="13" t="s">
        <v>9</v>
      </c>
      <c r="M14" s="13" t="s">
        <v>10</v>
      </c>
      <c r="N14" s="13" t="s">
        <v>11</v>
      </c>
      <c r="O14" s="34" t="s">
        <v>18</v>
      </c>
      <c r="P14" s="15"/>
      <c r="Q14" s="16"/>
      <c r="R14" s="11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8"/>
      <c r="B15" s="35" t="s">
        <v>22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Q15" s="38"/>
      <c r="R15" s="18"/>
    </row>
    <row r="16" ht="15.75" customHeight="1">
      <c r="A16" s="21"/>
      <c r="B16" s="39" t="s">
        <v>23</v>
      </c>
      <c r="C16" s="40">
        <v>1967.98</v>
      </c>
      <c r="D16" s="40">
        <v>1967.98</v>
      </c>
      <c r="E16" s="40">
        <v>1967.98</v>
      </c>
      <c r="F16" s="40">
        <v>1967.98</v>
      </c>
      <c r="G16" s="40">
        <v>1967.98</v>
      </c>
      <c r="H16" s="40">
        <v>1967.98</v>
      </c>
      <c r="I16" s="40">
        <v>1967.98</v>
      </c>
      <c r="J16" s="40">
        <v>2263.18</v>
      </c>
      <c r="K16" s="40">
        <v>2263.18</v>
      </c>
      <c r="L16" s="40">
        <v>2263.18</v>
      </c>
      <c r="M16" s="40">
        <v>2263.18</v>
      </c>
      <c r="N16" s="40">
        <v>2263.18</v>
      </c>
      <c r="O16" s="37"/>
      <c r="P16" s="41">
        <f t="shared" ref="P16:P25" si="6">SUM(C16:N16)</f>
        <v>25091.76</v>
      </c>
      <c r="Q16" s="42"/>
      <c r="R16" s="21"/>
    </row>
    <row r="17" ht="15.75" customHeight="1">
      <c r="A17" s="21"/>
      <c r="B17" s="39" t="s">
        <v>24</v>
      </c>
      <c r="C17" s="40">
        <v>129.66</v>
      </c>
      <c r="D17" s="40">
        <v>166.36</v>
      </c>
      <c r="E17" s="43">
        <v>0.0</v>
      </c>
      <c r="F17" s="43">
        <v>0.0</v>
      </c>
      <c r="G17" s="43">
        <v>0.0</v>
      </c>
      <c r="H17" s="43">
        <v>0.0</v>
      </c>
      <c r="I17" s="43">
        <v>0.0</v>
      </c>
      <c r="J17" s="43">
        <v>0.0</v>
      </c>
      <c r="K17" s="43">
        <v>0.0</v>
      </c>
      <c r="L17" s="43">
        <v>0.0</v>
      </c>
      <c r="M17" s="43">
        <v>0.0</v>
      </c>
      <c r="N17" s="43">
        <v>0.0</v>
      </c>
      <c r="O17" s="37"/>
      <c r="P17" s="41">
        <f t="shared" si="6"/>
        <v>296.02</v>
      </c>
      <c r="Q17" s="42"/>
      <c r="R17" s="21"/>
    </row>
    <row r="18" ht="15.75" customHeight="1">
      <c r="A18" s="21"/>
      <c r="B18" s="39" t="s">
        <v>25</v>
      </c>
      <c r="C18" s="40">
        <v>219.24</v>
      </c>
      <c r="D18" s="40">
        <v>214.77</v>
      </c>
      <c r="E18" s="43">
        <v>0.0</v>
      </c>
      <c r="F18" s="43">
        <v>0.0</v>
      </c>
      <c r="G18" s="43">
        <v>0.0</v>
      </c>
      <c r="H18" s="43">
        <v>0.0</v>
      </c>
      <c r="I18" s="43">
        <v>0.0</v>
      </c>
      <c r="J18" s="43">
        <v>0.0</v>
      </c>
      <c r="K18" s="43">
        <v>0.0</v>
      </c>
      <c r="L18" s="43">
        <v>0.0</v>
      </c>
      <c r="M18" s="43">
        <v>0.0</v>
      </c>
      <c r="N18" s="43">
        <v>0.0</v>
      </c>
      <c r="O18" s="37"/>
      <c r="P18" s="41">
        <f t="shared" si="6"/>
        <v>434.01</v>
      </c>
      <c r="Q18" s="42"/>
      <c r="R18" s="21"/>
    </row>
    <row r="19" ht="15.75" customHeight="1">
      <c r="A19" s="21"/>
      <c r="B19" s="44" t="s">
        <v>26</v>
      </c>
      <c r="C19" s="43">
        <f>'Jan - 2026 (CC)'!G18</f>
        <v>785.26</v>
      </c>
      <c r="D19" s="43">
        <f>'Feb - 2026 (CC)'!G15</f>
        <v>590.29</v>
      </c>
      <c r="E19" s="43">
        <v>0.0</v>
      </c>
      <c r="F19" s="43">
        <v>0.0</v>
      </c>
      <c r="G19" s="43">
        <v>0.0</v>
      </c>
      <c r="H19" s="43">
        <v>0.0</v>
      </c>
      <c r="I19" s="43">
        <v>0.0</v>
      </c>
      <c r="J19" s="43">
        <v>0.0</v>
      </c>
      <c r="K19" s="43">
        <v>0.0</v>
      </c>
      <c r="L19" s="43">
        <v>0.0</v>
      </c>
      <c r="M19" s="43">
        <v>0.0</v>
      </c>
      <c r="N19" s="43">
        <v>0.0</v>
      </c>
      <c r="O19" s="37"/>
      <c r="P19" s="41">
        <f t="shared" si="6"/>
        <v>1375.55</v>
      </c>
      <c r="Q19" s="42"/>
      <c r="R19" s="21"/>
    </row>
    <row r="20" ht="15.75" customHeight="1">
      <c r="A20" s="21"/>
      <c r="B20" s="39" t="s">
        <v>27</v>
      </c>
      <c r="C20" s="43">
        <f>'Jan - 2026 (CC)'!G14+'Jan - 2026 (CC)'!G26</f>
        <v>853.8</v>
      </c>
      <c r="D20" s="43">
        <f>'Feb - 2026 (CC)'!G10+'Feb - 2026 (CC)'!G22</f>
        <v>464.73</v>
      </c>
      <c r="E20" s="43">
        <v>0.0</v>
      </c>
      <c r="F20" s="43">
        <v>0.0</v>
      </c>
      <c r="G20" s="43">
        <v>0.0</v>
      </c>
      <c r="H20" s="43">
        <v>0.0</v>
      </c>
      <c r="I20" s="43">
        <v>0.0</v>
      </c>
      <c r="J20" s="43">
        <v>0.0</v>
      </c>
      <c r="K20" s="43">
        <v>0.0</v>
      </c>
      <c r="L20" s="43">
        <v>0.0</v>
      </c>
      <c r="M20" s="43">
        <v>0.0</v>
      </c>
      <c r="N20" s="43">
        <v>0.0</v>
      </c>
      <c r="O20" s="37"/>
      <c r="P20" s="41">
        <f t="shared" si="6"/>
        <v>1318.53</v>
      </c>
      <c r="Q20" s="42"/>
      <c r="R20" s="21"/>
    </row>
    <row r="21" ht="15.75" customHeight="1">
      <c r="A21" s="21"/>
      <c r="B21" s="39" t="s">
        <v>28</v>
      </c>
      <c r="C21" s="43">
        <f>'Jan - 2026 (CC)'!G16</f>
        <v>79.38</v>
      </c>
      <c r="D21" s="43">
        <f>'Feb - 2026 (CC)'!G13</f>
        <v>103.36</v>
      </c>
      <c r="E21" s="43">
        <v>0.0</v>
      </c>
      <c r="F21" s="43">
        <v>0.0</v>
      </c>
      <c r="G21" s="43">
        <v>0.0</v>
      </c>
      <c r="H21" s="43">
        <v>0.0</v>
      </c>
      <c r="I21" s="43">
        <v>0.0</v>
      </c>
      <c r="J21" s="43">
        <v>0.0</v>
      </c>
      <c r="K21" s="43">
        <v>0.0</v>
      </c>
      <c r="L21" s="43">
        <v>0.0</v>
      </c>
      <c r="M21" s="43">
        <v>0.0</v>
      </c>
      <c r="N21" s="43">
        <v>0.0</v>
      </c>
      <c r="O21" s="37"/>
      <c r="P21" s="41">
        <f t="shared" si="6"/>
        <v>182.74</v>
      </c>
      <c r="Q21" s="42"/>
      <c r="R21" s="21"/>
    </row>
    <row r="22" ht="15.75" customHeight="1">
      <c r="A22" s="21"/>
      <c r="B22" s="39" t="s">
        <v>29</v>
      </c>
      <c r="C22" s="43">
        <f>'Jan - 2026 (CC)'!G21</f>
        <v>79.1</v>
      </c>
      <c r="D22" s="43">
        <f>'Feb - 2026 (CC)'!G18</f>
        <v>79.1</v>
      </c>
      <c r="E22" s="43">
        <v>79.1</v>
      </c>
      <c r="F22" s="43">
        <v>79.1</v>
      </c>
      <c r="G22" s="43">
        <v>79.1</v>
      </c>
      <c r="H22" s="43">
        <v>79.1</v>
      </c>
      <c r="I22" s="43">
        <v>79.1</v>
      </c>
      <c r="J22" s="43">
        <v>79.1</v>
      </c>
      <c r="K22" s="43">
        <v>79.1</v>
      </c>
      <c r="L22" s="43">
        <v>79.1</v>
      </c>
      <c r="M22" s="43">
        <v>79.1</v>
      </c>
      <c r="N22" s="43">
        <v>79.1</v>
      </c>
      <c r="O22" s="37"/>
      <c r="P22" s="41">
        <f t="shared" si="6"/>
        <v>949.2</v>
      </c>
      <c r="Q22" s="42"/>
      <c r="R22" s="21"/>
    </row>
    <row r="23" ht="15.75" customHeight="1">
      <c r="A23" s="21"/>
      <c r="B23" s="39" t="s">
        <v>30</v>
      </c>
      <c r="C23" s="40">
        <f>'Jan - 2026 (CC)'!G30</f>
        <v>45.2</v>
      </c>
      <c r="D23" s="40">
        <f>'Feb - 2026 (CC)'!G26</f>
        <v>45.2</v>
      </c>
      <c r="E23" s="40">
        <v>45.2</v>
      </c>
      <c r="F23" s="40">
        <v>45.2</v>
      </c>
      <c r="G23" s="40">
        <v>45.2</v>
      </c>
      <c r="H23" s="40">
        <v>45.2</v>
      </c>
      <c r="I23" s="40">
        <v>45.2</v>
      </c>
      <c r="J23" s="40">
        <v>45.2</v>
      </c>
      <c r="K23" s="40">
        <v>45.2</v>
      </c>
      <c r="L23" s="40">
        <v>45.2</v>
      </c>
      <c r="M23" s="40">
        <v>45.2</v>
      </c>
      <c r="N23" s="40">
        <v>45.2</v>
      </c>
      <c r="O23" s="37"/>
      <c r="P23" s="41">
        <f t="shared" si="6"/>
        <v>542.4</v>
      </c>
      <c r="Q23" s="42"/>
      <c r="R23" s="21"/>
    </row>
    <row r="24" ht="15.75" customHeight="1">
      <c r="A24" s="21"/>
      <c r="B24" s="39" t="s">
        <v>31</v>
      </c>
      <c r="C24" s="40">
        <f>'Jan - 2026 (CC)'!G23</f>
        <v>135.15</v>
      </c>
      <c r="D24" s="40">
        <f>'Feb - 2026 (CC)'!G20</f>
        <v>171.31</v>
      </c>
      <c r="E24" s="40">
        <v>93.86</v>
      </c>
      <c r="F24" s="40">
        <v>93.86</v>
      </c>
      <c r="G24" s="40">
        <v>93.86</v>
      </c>
      <c r="H24" s="40">
        <v>93.86</v>
      </c>
      <c r="I24" s="40">
        <v>93.86</v>
      </c>
      <c r="J24" s="40">
        <v>93.86</v>
      </c>
      <c r="K24" s="40">
        <v>93.86</v>
      </c>
      <c r="L24" s="40">
        <v>93.86</v>
      </c>
      <c r="M24" s="40">
        <v>93.86</v>
      </c>
      <c r="N24" s="40">
        <v>93.86</v>
      </c>
      <c r="O24" s="37"/>
      <c r="P24" s="41">
        <f t="shared" si="6"/>
        <v>1245.06</v>
      </c>
      <c r="Q24" s="42"/>
      <c r="R24" s="21"/>
    </row>
    <row r="25" ht="15.75" customHeight="1">
      <c r="A25" s="21"/>
      <c r="B25" s="39" t="s">
        <v>32</v>
      </c>
      <c r="C25" s="43">
        <f>257.21+146.21+151.61</f>
        <v>555.03</v>
      </c>
      <c r="D25" s="43">
        <f>'Feb - 2026 (CC)'!G17+265.51</f>
        <v>586.13</v>
      </c>
      <c r="E25" s="43">
        <f>265.21+146.21+151.61</f>
        <v>563.03</v>
      </c>
      <c r="F25" s="43">
        <f t="shared" ref="F25:N25" si="7">257.21+146.21+151.61</f>
        <v>555.03</v>
      </c>
      <c r="G25" s="43">
        <f t="shared" si="7"/>
        <v>555.03</v>
      </c>
      <c r="H25" s="43">
        <f t="shared" si="7"/>
        <v>555.03</v>
      </c>
      <c r="I25" s="43">
        <f t="shared" si="7"/>
        <v>555.03</v>
      </c>
      <c r="J25" s="43">
        <f t="shared" si="7"/>
        <v>555.03</v>
      </c>
      <c r="K25" s="43">
        <f t="shared" si="7"/>
        <v>555.03</v>
      </c>
      <c r="L25" s="43">
        <f t="shared" si="7"/>
        <v>555.03</v>
      </c>
      <c r="M25" s="43">
        <f t="shared" si="7"/>
        <v>555.03</v>
      </c>
      <c r="N25" s="43">
        <f t="shared" si="7"/>
        <v>555.03</v>
      </c>
      <c r="O25" s="37"/>
      <c r="P25" s="41">
        <f t="shared" si="6"/>
        <v>6699.46</v>
      </c>
      <c r="Q25" s="42"/>
      <c r="R25" s="21"/>
    </row>
    <row r="26" ht="15.75" customHeight="1">
      <c r="A26" s="21"/>
      <c r="B26" s="39" t="s">
        <v>33</v>
      </c>
      <c r="C26" s="40">
        <v>0.0</v>
      </c>
      <c r="D26" s="40">
        <v>1104.0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37"/>
      <c r="P26" s="41"/>
      <c r="Q26" s="42"/>
      <c r="R26" s="21"/>
    </row>
    <row r="27" ht="15.75" customHeight="1">
      <c r="A27" s="21"/>
      <c r="B27" s="39" t="s">
        <v>34</v>
      </c>
      <c r="C27" s="40">
        <f>54.4+50+1500+750</f>
        <v>2354.4</v>
      </c>
      <c r="D27" s="40"/>
      <c r="E27" s="40">
        <f>54.4+50</f>
        <v>104.4</v>
      </c>
      <c r="F27" s="40">
        <v>54.4</v>
      </c>
      <c r="G27" s="40">
        <v>54.4</v>
      </c>
      <c r="H27" s="40">
        <v>54.4</v>
      </c>
      <c r="I27" s="40">
        <v>54.4</v>
      </c>
      <c r="J27" s="40">
        <v>54.4</v>
      </c>
      <c r="K27" s="40">
        <v>54.4</v>
      </c>
      <c r="L27" s="40">
        <v>54.4</v>
      </c>
      <c r="M27" s="40">
        <v>54.4</v>
      </c>
      <c r="N27" s="40">
        <v>54.4</v>
      </c>
      <c r="O27" s="37"/>
      <c r="P27" s="41">
        <f>SUM(C27:N27)</f>
        <v>2948.4</v>
      </c>
      <c r="Q27" s="42"/>
      <c r="R27" s="21"/>
    </row>
    <row r="28" ht="15.75" customHeight="1">
      <c r="A28" s="21"/>
      <c r="B28" s="39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7"/>
      <c r="P28" s="41"/>
      <c r="Q28" s="42"/>
      <c r="R28" s="21"/>
    </row>
    <row r="29" ht="15.75" customHeight="1">
      <c r="A29" s="21"/>
      <c r="B29" s="35" t="s">
        <v>35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37"/>
      <c r="P29" s="41"/>
      <c r="Q29" s="42"/>
      <c r="R29" s="21"/>
    </row>
    <row r="30" ht="15.75" customHeight="1">
      <c r="A30" s="21"/>
      <c r="B30" s="44" t="s">
        <v>36</v>
      </c>
      <c r="C30" s="43">
        <f>'Jan - 2026 (CC)'!G8+'Jan - 2026 (CC)'!G28+'Jan - 2026 (CC)'!G27</f>
        <v>131.39</v>
      </c>
      <c r="D30" s="43">
        <f>'Feb - 2026 (CC)'!G6+'Feb - 2026 (CC)'!G23+'Feb - 2026 (CC)'!G24</f>
        <v>133.44</v>
      </c>
      <c r="E30" s="43">
        <v>0.0</v>
      </c>
      <c r="F30" s="43">
        <v>0.0</v>
      </c>
      <c r="G30" s="43">
        <v>0.0</v>
      </c>
      <c r="H30" s="43">
        <v>0.0</v>
      </c>
      <c r="I30" s="43">
        <v>0.0</v>
      </c>
      <c r="J30" s="43">
        <v>0.0</v>
      </c>
      <c r="K30" s="43">
        <v>0.0</v>
      </c>
      <c r="L30" s="43">
        <v>0.0</v>
      </c>
      <c r="M30" s="43">
        <v>0.0</v>
      </c>
      <c r="N30" s="43">
        <v>0.0</v>
      </c>
      <c r="O30" s="37"/>
      <c r="P30" s="41">
        <f t="shared" ref="P30:P36" si="8">SUM(C30:N30)</f>
        <v>264.83</v>
      </c>
      <c r="Q30" s="42"/>
      <c r="R30" s="21"/>
    </row>
    <row r="31" ht="15.75" customHeight="1">
      <c r="A31" s="21"/>
      <c r="B31" s="39" t="s">
        <v>37</v>
      </c>
      <c r="C31" s="43">
        <f>'Jan - 2026 (CC)'!G15+'Jan - 2026 (CC)'!G29+'Jan - 2026 (CC)'!G24</f>
        <v>911.17</v>
      </c>
      <c r="D31" s="43">
        <f>'Feb - 2026 (CC)'!G11+'Feb - 2026 (CC)'!G25+'Feb - 2026 (CC)'!G12</f>
        <v>775.24</v>
      </c>
      <c r="E31" s="43">
        <v>0.0</v>
      </c>
      <c r="F31" s="43">
        <v>0.0</v>
      </c>
      <c r="G31" s="43">
        <v>0.0</v>
      </c>
      <c r="H31" s="43">
        <v>0.0</v>
      </c>
      <c r="I31" s="43">
        <v>0.0</v>
      </c>
      <c r="J31" s="43">
        <v>0.0</v>
      </c>
      <c r="K31" s="43">
        <v>0.0</v>
      </c>
      <c r="L31" s="43">
        <v>0.0</v>
      </c>
      <c r="M31" s="43">
        <v>0.0</v>
      </c>
      <c r="N31" s="43">
        <v>0.0</v>
      </c>
      <c r="O31" s="37"/>
      <c r="P31" s="41">
        <f t="shared" si="8"/>
        <v>1686.41</v>
      </c>
      <c r="Q31" s="42"/>
      <c r="R31" s="21"/>
    </row>
    <row r="32" ht="15.75" customHeight="1">
      <c r="A32" s="21"/>
      <c r="B32" s="44" t="s">
        <v>38</v>
      </c>
      <c r="C32" s="43">
        <f>'Jan - 2026 (CC)'!G18+'Jan - 2026 (CC)'!G12</f>
        <v>1019.74</v>
      </c>
      <c r="D32" s="43">
        <f>'Feb - 2026 (CC)'!G8+'Feb - 2026 (CC)'!G16</f>
        <v>435.97</v>
      </c>
      <c r="E32" s="43">
        <v>0.0</v>
      </c>
      <c r="F32" s="43">
        <v>0.0</v>
      </c>
      <c r="G32" s="43">
        <v>0.0</v>
      </c>
      <c r="H32" s="43">
        <v>0.0</v>
      </c>
      <c r="I32" s="43">
        <v>0.0</v>
      </c>
      <c r="J32" s="43">
        <v>0.0</v>
      </c>
      <c r="K32" s="43">
        <v>0.0</v>
      </c>
      <c r="L32" s="43">
        <v>0.0</v>
      </c>
      <c r="M32" s="43">
        <v>0.0</v>
      </c>
      <c r="N32" s="43">
        <v>0.0</v>
      </c>
      <c r="O32" s="37"/>
      <c r="P32" s="41">
        <f t="shared" si="8"/>
        <v>1455.71</v>
      </c>
      <c r="Q32" s="42"/>
      <c r="R32" s="21"/>
    </row>
    <row r="33" ht="15.75" customHeight="1">
      <c r="A33" s="21"/>
      <c r="B33" s="44" t="s">
        <v>39</v>
      </c>
      <c r="C33" s="43">
        <f>'Jan - 2026 (CC)'!G17</f>
        <v>235</v>
      </c>
      <c r="D33" s="43">
        <f>'Feb - 2026 (CC)'!G14</f>
        <v>190.38</v>
      </c>
      <c r="E33" s="43">
        <v>0.0</v>
      </c>
      <c r="F33" s="43">
        <v>0.0</v>
      </c>
      <c r="G33" s="43">
        <v>0.0</v>
      </c>
      <c r="H33" s="43">
        <v>0.0</v>
      </c>
      <c r="I33" s="43">
        <v>0.0</v>
      </c>
      <c r="J33" s="43">
        <v>0.0</v>
      </c>
      <c r="K33" s="43">
        <v>0.0</v>
      </c>
      <c r="L33" s="43">
        <v>0.0</v>
      </c>
      <c r="M33" s="43">
        <v>0.0</v>
      </c>
      <c r="N33" s="43">
        <v>0.0</v>
      </c>
      <c r="O33" s="37"/>
      <c r="P33" s="41">
        <f t="shared" si="8"/>
        <v>425.38</v>
      </c>
      <c r="Q33" s="42"/>
      <c r="R33" s="21"/>
    </row>
    <row r="34" ht="15.75" customHeight="1">
      <c r="A34" s="21"/>
      <c r="B34" s="39" t="s">
        <v>40</v>
      </c>
      <c r="C34" s="40">
        <f>'Jan - 2026 (CC)'!G11</f>
        <v>50</v>
      </c>
      <c r="D34" s="40">
        <v>50.0</v>
      </c>
      <c r="E34" s="40">
        <v>50.0</v>
      </c>
      <c r="F34" s="40">
        <v>50.0</v>
      </c>
      <c r="G34" s="40">
        <v>50.0</v>
      </c>
      <c r="H34" s="40">
        <v>50.0</v>
      </c>
      <c r="I34" s="40">
        <v>50.0</v>
      </c>
      <c r="J34" s="40">
        <v>50.0</v>
      </c>
      <c r="K34" s="40">
        <v>50.0</v>
      </c>
      <c r="L34" s="40">
        <v>50.0</v>
      </c>
      <c r="M34" s="40">
        <v>50.0</v>
      </c>
      <c r="N34" s="40">
        <v>50.0</v>
      </c>
      <c r="O34" s="37"/>
      <c r="P34" s="41">
        <f t="shared" si="8"/>
        <v>600</v>
      </c>
      <c r="Q34" s="42"/>
      <c r="R34" s="21"/>
    </row>
    <row r="35" ht="15.75" customHeight="1">
      <c r="A35" s="21"/>
      <c r="B35" s="39" t="s">
        <v>41</v>
      </c>
      <c r="C35" s="43">
        <f>'Jan - 2026 (CC)'!G31</f>
        <v>3498.43</v>
      </c>
      <c r="D35" s="40">
        <v>0.0</v>
      </c>
      <c r="E35" s="43">
        <v>0.0</v>
      </c>
      <c r="F35" s="43">
        <v>0.0</v>
      </c>
      <c r="G35" s="43">
        <v>0.0</v>
      </c>
      <c r="H35" s="43">
        <v>0.0</v>
      </c>
      <c r="I35" s="43">
        <v>0.0</v>
      </c>
      <c r="J35" s="43">
        <v>0.0</v>
      </c>
      <c r="K35" s="43">
        <v>0.0</v>
      </c>
      <c r="L35" s="43">
        <v>0.0</v>
      </c>
      <c r="M35" s="43">
        <v>0.0</v>
      </c>
      <c r="N35" s="43">
        <v>0.0</v>
      </c>
      <c r="O35" s="37"/>
      <c r="P35" s="41">
        <f t="shared" si="8"/>
        <v>3498.43</v>
      </c>
      <c r="Q35" s="42"/>
      <c r="R35" s="21"/>
    </row>
    <row r="36" ht="15.75" customHeight="1">
      <c r="A36" s="21"/>
      <c r="B36" s="39" t="s">
        <v>42</v>
      </c>
      <c r="C36" s="40">
        <f>'Jan - 2026 (CC)'!G13</f>
        <v>103.2</v>
      </c>
      <c r="D36" s="40">
        <f>'Feb - 2026 (CC)'!G9</f>
        <v>136.99</v>
      </c>
      <c r="E36" s="40">
        <v>122.76</v>
      </c>
      <c r="F36" s="40">
        <v>122.76</v>
      </c>
      <c r="G36" s="40">
        <v>122.76</v>
      </c>
      <c r="H36" s="40">
        <v>122.76</v>
      </c>
      <c r="I36" s="40">
        <v>122.76</v>
      </c>
      <c r="J36" s="40">
        <v>122.76</v>
      </c>
      <c r="K36" s="40">
        <v>122.76</v>
      </c>
      <c r="L36" s="40">
        <v>122.76</v>
      </c>
      <c r="M36" s="40">
        <v>122.76</v>
      </c>
      <c r="N36" s="40">
        <v>122.76</v>
      </c>
      <c r="O36" s="37"/>
      <c r="P36" s="41">
        <f t="shared" si="8"/>
        <v>1467.79</v>
      </c>
      <c r="Q36" s="42"/>
      <c r="R36" s="21"/>
    </row>
    <row r="37" ht="15.75" customHeight="1">
      <c r="A37" s="21"/>
      <c r="B37" s="39" t="s">
        <v>43</v>
      </c>
      <c r="C37" s="43">
        <f>'Jan - 2026 (CC)'!G20</f>
        <v>135.51</v>
      </c>
      <c r="D37" s="43">
        <f>0</f>
        <v>0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37"/>
      <c r="P37" s="41"/>
      <c r="Q37" s="42"/>
      <c r="R37" s="21"/>
    </row>
    <row r="38" ht="15.75" customHeight="1">
      <c r="A38" s="27"/>
      <c r="B38" s="39" t="s">
        <v>44</v>
      </c>
      <c r="C38" s="43">
        <f>'Jan - 2026 (CC)'!G9+'Jan - 2026 (CC)'!G22</f>
        <v>244.9</v>
      </c>
      <c r="D38" s="43">
        <f>'Feb - 2026 (CC)'!G5</f>
        <v>154.78</v>
      </c>
      <c r="E38" s="43">
        <v>0.0</v>
      </c>
      <c r="F38" s="43">
        <v>0.0</v>
      </c>
      <c r="G38" s="43">
        <v>0.0</v>
      </c>
      <c r="H38" s="43">
        <v>0.0</v>
      </c>
      <c r="I38" s="43">
        <v>0.0</v>
      </c>
      <c r="J38" s="43">
        <v>0.0</v>
      </c>
      <c r="K38" s="43">
        <v>0.0</v>
      </c>
      <c r="L38" s="43">
        <v>0.0</v>
      </c>
      <c r="M38" s="43">
        <v>0.0</v>
      </c>
      <c r="N38" s="43">
        <v>0.0</v>
      </c>
      <c r="O38" s="37"/>
      <c r="P38" s="41">
        <f>SUM(C38:N38)</f>
        <v>399.68</v>
      </c>
      <c r="Q38" s="42"/>
      <c r="R38" s="27"/>
    </row>
    <row r="39" ht="15.75" customHeight="1">
      <c r="A39" s="45"/>
      <c r="B39" s="4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7"/>
      <c r="Q39" s="38"/>
      <c r="R39" s="45"/>
    </row>
    <row r="40" ht="21.75" customHeight="1">
      <c r="A40" s="1"/>
      <c r="B40" s="46" t="s">
        <v>14</v>
      </c>
      <c r="C40" s="47">
        <f t="shared" ref="C40:N40" si="9">SUM(C16:C38)</f>
        <v>13533.54</v>
      </c>
      <c r="D40" s="47">
        <f t="shared" si="9"/>
        <v>7370.03</v>
      </c>
      <c r="E40" s="47">
        <f t="shared" si="9"/>
        <v>3026.33</v>
      </c>
      <c r="F40" s="47">
        <f t="shared" si="9"/>
        <v>2968.33</v>
      </c>
      <c r="G40" s="47">
        <f t="shared" si="9"/>
        <v>2968.33</v>
      </c>
      <c r="H40" s="47">
        <f t="shared" si="9"/>
        <v>2968.33</v>
      </c>
      <c r="I40" s="47">
        <f t="shared" si="9"/>
        <v>2968.33</v>
      </c>
      <c r="J40" s="47">
        <f t="shared" si="9"/>
        <v>3263.53</v>
      </c>
      <c r="K40" s="47">
        <f t="shared" si="9"/>
        <v>3263.53</v>
      </c>
      <c r="L40" s="47">
        <f t="shared" si="9"/>
        <v>3263.53</v>
      </c>
      <c r="M40" s="47">
        <f t="shared" si="9"/>
        <v>3263.53</v>
      </c>
      <c r="N40" s="47">
        <f t="shared" si="9"/>
        <v>3263.53</v>
      </c>
      <c r="O40" s="48"/>
      <c r="P40" s="47">
        <f>SUM(C40:N40)</f>
        <v>52120.87</v>
      </c>
      <c r="Q40" s="49"/>
      <c r="R40" s="1"/>
    </row>
    <row r="41" ht="15.0" customHeight="1">
      <c r="A41" s="50"/>
      <c r="R41" s="50"/>
    </row>
    <row r="42" ht="15.75" customHeight="1">
      <c r="B42" s="51" t="s">
        <v>45</v>
      </c>
    </row>
    <row r="43" ht="15.75" customHeight="1">
      <c r="B43" s="51" t="s">
        <v>46</v>
      </c>
    </row>
    <row r="44" ht="15.75" customHeight="1">
      <c r="B44" s="51" t="s">
        <v>47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O7:Q7"/>
    <mergeCell ref="A8:A11"/>
    <mergeCell ref="R8:R11"/>
    <mergeCell ref="O14:Q14"/>
    <mergeCell ref="A15:A38"/>
    <mergeCell ref="R15:R3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8.78"/>
  </cols>
  <sheetData>
    <row r="1">
      <c r="A1" s="52" t="s">
        <v>48</v>
      </c>
      <c r="B1" s="52" t="s">
        <v>49</v>
      </c>
      <c r="C1" s="52" t="s">
        <v>50</v>
      </c>
      <c r="D1" s="52" t="s">
        <v>51</v>
      </c>
      <c r="E1" s="52" t="s">
        <v>52</v>
      </c>
      <c r="F1" s="52" t="s">
        <v>53</v>
      </c>
      <c r="G1" s="52" t="s">
        <v>54</v>
      </c>
      <c r="H1" s="52" t="s">
        <v>55</v>
      </c>
      <c r="I1" s="52" t="s">
        <v>56</v>
      </c>
      <c r="J1" s="52" t="s">
        <v>57</v>
      </c>
      <c r="K1" s="52" t="s">
        <v>58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3" t="s">
        <v>59</v>
      </c>
      <c r="B2" s="53" t="s">
        <v>60</v>
      </c>
      <c r="C2" s="54">
        <v>9647.52</v>
      </c>
      <c r="D2" s="54">
        <v>54.4</v>
      </c>
      <c r="E2" s="54">
        <v>525.0</v>
      </c>
      <c r="F2" s="54">
        <v>9303.72</v>
      </c>
      <c r="G2" s="54">
        <v>2103.5</v>
      </c>
      <c r="H2" s="54">
        <f>F2-G2</f>
        <v>7200.22</v>
      </c>
      <c r="I2" s="54">
        <v>8487.72</v>
      </c>
      <c r="J2" s="55">
        <v>46419.0</v>
      </c>
      <c r="K2" s="53" t="s">
        <v>61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>
      <c r="A3" s="53" t="s">
        <v>62</v>
      </c>
      <c r="B3" s="53" t="s">
        <v>63</v>
      </c>
      <c r="C3" s="54">
        <v>3524.47</v>
      </c>
      <c r="D3" s="54">
        <v>35.0</v>
      </c>
      <c r="E3" s="56"/>
      <c r="F3" s="57">
        <v>1478.04</v>
      </c>
      <c r="G3" s="56"/>
      <c r="H3" s="56">
        <f>F3</f>
        <v>1478.04</v>
      </c>
      <c r="I3" s="54">
        <v>1728.04</v>
      </c>
      <c r="J3" s="55">
        <v>46478.0</v>
      </c>
      <c r="K3" s="53" t="s">
        <v>61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>
      <c r="A4" s="53" t="s">
        <v>64</v>
      </c>
      <c r="B4" s="53" t="s">
        <v>65</v>
      </c>
      <c r="C4" s="54">
        <v>5907.78</v>
      </c>
      <c r="D4" s="53"/>
      <c r="E4" s="53"/>
      <c r="F4" s="57">
        <v>8783.92</v>
      </c>
      <c r="G4" s="56"/>
      <c r="H4" s="53"/>
      <c r="I4" s="56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>
      <c r="A5" s="52" t="s">
        <v>66</v>
      </c>
      <c r="B5" s="53"/>
      <c r="C5" s="54">
        <f>SUM(C2:C4)</f>
        <v>19079.77</v>
      </c>
      <c r="D5" s="53"/>
      <c r="E5" s="53"/>
      <c r="F5" s="54">
        <f>SUM(F2:F4)</f>
        <v>19565.68</v>
      </c>
      <c r="G5" s="53"/>
      <c r="H5" s="53"/>
      <c r="I5" s="56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</row>
    <row r="6">
      <c r="A6" s="53"/>
      <c r="B6" s="53"/>
      <c r="C6" s="53"/>
      <c r="D6" s="53"/>
      <c r="E6" s="53"/>
      <c r="F6" s="53"/>
      <c r="G6" s="53"/>
      <c r="H6" s="53"/>
      <c r="I6" s="56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>
      <c r="A8" s="52" t="s">
        <v>67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>
      <c r="A9" s="53" t="s">
        <v>68</v>
      </c>
      <c r="B9" s="53" t="s">
        <v>60</v>
      </c>
      <c r="C9" s="54">
        <v>20376.16</v>
      </c>
      <c r="D9" s="56"/>
      <c r="E9" s="56"/>
      <c r="F9" s="56"/>
      <c r="G9" s="56"/>
      <c r="H9" s="53"/>
      <c r="I9" s="53"/>
      <c r="J9" s="53"/>
      <c r="K9" s="53" t="s">
        <v>69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>
      <c r="A10" s="53" t="s">
        <v>68</v>
      </c>
      <c r="B10" s="53" t="s">
        <v>70</v>
      </c>
      <c r="C10" s="54">
        <v>20376.16</v>
      </c>
      <c r="D10" s="56"/>
      <c r="E10" s="56"/>
      <c r="F10" s="56"/>
      <c r="G10" s="56"/>
      <c r="H10" s="53"/>
      <c r="I10" s="53"/>
      <c r="J10" s="53"/>
      <c r="K10" s="53" t="s">
        <v>71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33.44"/>
    <col customWidth="1" min="3" max="3" width="16.56"/>
    <col customWidth="1" min="4" max="4" width="21.67"/>
  </cols>
  <sheetData>
    <row r="1" ht="22.5" customHeight="1">
      <c r="A1" s="59" t="s">
        <v>72</v>
      </c>
      <c r="B1" s="59" t="s">
        <v>73</v>
      </c>
      <c r="C1" s="60" t="s">
        <v>74</v>
      </c>
      <c r="D1" s="59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22.5" customHeight="1">
      <c r="A2" s="62">
        <v>46023.0</v>
      </c>
      <c r="B2" s="63" t="s">
        <v>76</v>
      </c>
      <c r="C2" s="64">
        <v>82.39</v>
      </c>
      <c r="D2" s="65" t="s">
        <v>77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2.5" customHeight="1">
      <c r="A3" s="66">
        <v>46023.0</v>
      </c>
      <c r="B3" s="67" t="s">
        <v>78</v>
      </c>
      <c r="C3" s="68">
        <v>1.7</v>
      </c>
      <c r="D3" s="69" t="s">
        <v>79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ht="22.5" customHeight="1">
      <c r="A4" s="66">
        <v>46023.0</v>
      </c>
      <c r="B4" s="67" t="s">
        <v>80</v>
      </c>
      <c r="C4" s="68">
        <v>79.1</v>
      </c>
      <c r="D4" s="69" t="s">
        <v>81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 ht="22.5" customHeight="1">
      <c r="A5" s="66">
        <v>46024.0</v>
      </c>
      <c r="B5" s="67" t="s">
        <v>82</v>
      </c>
      <c r="C5" s="68">
        <v>57.5</v>
      </c>
      <c r="D5" s="69" t="s">
        <v>83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 ht="22.5" customHeight="1">
      <c r="A6" s="66">
        <v>46024.0</v>
      </c>
      <c r="B6" s="67" t="s">
        <v>84</v>
      </c>
      <c r="C6" s="68">
        <v>45.71</v>
      </c>
      <c r="D6" s="69" t="s">
        <v>85</v>
      </c>
      <c r="E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ht="22.5" customHeight="1">
      <c r="A7" s="66">
        <v>46024.0</v>
      </c>
      <c r="B7" s="67" t="s">
        <v>87</v>
      </c>
      <c r="C7" s="68">
        <v>66.14</v>
      </c>
      <c r="D7" s="69" t="s">
        <v>88</v>
      </c>
      <c r="E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 ht="22.5" customHeight="1">
      <c r="A8" s="66">
        <v>46025.0</v>
      </c>
      <c r="B8" s="67" t="s">
        <v>89</v>
      </c>
      <c r="C8" s="68">
        <v>27.22</v>
      </c>
      <c r="D8" s="69" t="s">
        <v>88</v>
      </c>
      <c r="E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 ht="22.5" customHeight="1">
      <c r="A9" s="66">
        <v>46025.0</v>
      </c>
      <c r="B9" s="67" t="s">
        <v>91</v>
      </c>
      <c r="C9" s="68">
        <v>13.54</v>
      </c>
      <c r="D9" s="69" t="s">
        <v>92</v>
      </c>
      <c r="E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 ht="22.5" customHeight="1">
      <c r="A10" s="71">
        <v>46025.0</v>
      </c>
      <c r="B10" s="72" t="s">
        <v>91</v>
      </c>
      <c r="C10" s="73">
        <v>26.99</v>
      </c>
      <c r="D10" s="69" t="s">
        <v>94</v>
      </c>
      <c r="E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 ht="22.5" customHeight="1">
      <c r="A11" s="71">
        <v>46025.0</v>
      </c>
      <c r="B11" s="72" t="s">
        <v>95</v>
      </c>
      <c r="C11" s="73">
        <v>3.38</v>
      </c>
      <c r="D11" s="69" t="s">
        <v>79</v>
      </c>
      <c r="E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 ht="22.5" customHeight="1">
      <c r="A12" s="74">
        <v>46026.0</v>
      </c>
      <c r="B12" s="75" t="s">
        <v>97</v>
      </c>
      <c r="C12" s="76">
        <v>152.55</v>
      </c>
      <c r="D12" s="65" t="s">
        <v>83</v>
      </c>
      <c r="E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 ht="22.5" customHeight="1">
      <c r="A13" s="71">
        <v>46026.0</v>
      </c>
      <c r="B13" s="72" t="s">
        <v>99</v>
      </c>
      <c r="C13" s="73">
        <v>135.51</v>
      </c>
      <c r="D13" s="69" t="s">
        <v>100</v>
      </c>
      <c r="E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 ht="22.5" customHeight="1">
      <c r="A14" s="71">
        <v>46027.0</v>
      </c>
      <c r="B14" s="78" t="s">
        <v>101</v>
      </c>
      <c r="C14" s="73">
        <v>15.93</v>
      </c>
      <c r="D14" s="69" t="s">
        <v>102</v>
      </c>
      <c r="E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 ht="22.5" customHeight="1">
      <c r="A15" s="74">
        <v>46028.0</v>
      </c>
      <c r="B15" s="75" t="s">
        <v>104</v>
      </c>
      <c r="C15" s="76">
        <v>28.97</v>
      </c>
      <c r="D15" s="65" t="s">
        <v>103</v>
      </c>
      <c r="E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 ht="22.5" customHeight="1">
      <c r="A16" s="71">
        <v>46028.0</v>
      </c>
      <c r="B16" s="79" t="s">
        <v>105</v>
      </c>
      <c r="C16" s="73">
        <v>28.24</v>
      </c>
      <c r="D16" s="69" t="s">
        <v>83</v>
      </c>
      <c r="E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 ht="22.5" customHeight="1">
      <c r="A17" s="71">
        <v>46028.0</v>
      </c>
      <c r="B17" s="80" t="s">
        <v>106</v>
      </c>
      <c r="C17" s="73">
        <v>10.16</v>
      </c>
      <c r="D17" s="69" t="s">
        <v>90</v>
      </c>
      <c r="E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 ht="22.5" customHeight="1">
      <c r="A18" s="71">
        <v>46028.0</v>
      </c>
      <c r="B18" s="72" t="s">
        <v>108</v>
      </c>
      <c r="C18" s="73">
        <v>121.41</v>
      </c>
      <c r="D18" s="69" t="s">
        <v>109</v>
      </c>
      <c r="E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 ht="22.5" customHeight="1">
      <c r="A19" s="71">
        <v>46028.0</v>
      </c>
      <c r="B19" s="72" t="s">
        <v>110</v>
      </c>
      <c r="C19" s="73">
        <v>9.03</v>
      </c>
      <c r="D19" s="69" t="s">
        <v>111</v>
      </c>
      <c r="E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 ht="22.5" customHeight="1">
      <c r="A20" s="71">
        <v>46028.0</v>
      </c>
      <c r="B20" s="72" t="s">
        <v>112</v>
      </c>
      <c r="C20" s="73">
        <v>34.0</v>
      </c>
      <c r="D20" s="69" t="s">
        <v>88</v>
      </c>
      <c r="E20" s="8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ht="22.5" customHeight="1">
      <c r="A21" s="71">
        <v>46028.0</v>
      </c>
      <c r="B21" s="72" t="s">
        <v>113</v>
      </c>
      <c r="C21" s="73">
        <v>6.5</v>
      </c>
      <c r="D21" s="69" t="s">
        <v>85</v>
      </c>
      <c r="E21" s="82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 ht="22.5" customHeight="1">
      <c r="A22" s="74">
        <v>46029.0</v>
      </c>
      <c r="B22" s="75" t="s">
        <v>114</v>
      </c>
      <c r="C22" s="76">
        <v>35.99</v>
      </c>
      <c r="D22" s="83" t="s">
        <v>109</v>
      </c>
      <c r="E22" s="84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 ht="22.5" customHeight="1">
      <c r="A23" s="71">
        <v>46029.0</v>
      </c>
      <c r="B23" s="79" t="s">
        <v>78</v>
      </c>
      <c r="C23" s="73">
        <v>6.2</v>
      </c>
      <c r="D23" s="69" t="s">
        <v>79</v>
      </c>
      <c r="E23" s="84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 ht="22.5" customHeight="1">
      <c r="A24" s="71">
        <v>46029.0</v>
      </c>
      <c r="B24" s="79" t="s">
        <v>116</v>
      </c>
      <c r="C24" s="73">
        <v>67.98</v>
      </c>
      <c r="D24" s="69" t="s">
        <v>93</v>
      </c>
      <c r="E24" s="84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 ht="22.5" customHeight="1">
      <c r="A25" s="71">
        <v>46029.0</v>
      </c>
      <c r="B25" s="79" t="s">
        <v>118</v>
      </c>
      <c r="C25" s="73">
        <v>47.41</v>
      </c>
      <c r="D25" s="69" t="s">
        <v>109</v>
      </c>
      <c r="E25" s="84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 ht="22.5" customHeight="1">
      <c r="A26" s="74">
        <v>46030.0</v>
      </c>
      <c r="B26" s="75" t="s">
        <v>104</v>
      </c>
      <c r="C26" s="76">
        <v>28.97</v>
      </c>
      <c r="D26" s="65" t="s">
        <v>103</v>
      </c>
      <c r="E26" s="84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 ht="22.5" customHeight="1">
      <c r="A27" s="71">
        <v>46030.0</v>
      </c>
      <c r="B27" s="79" t="s">
        <v>120</v>
      </c>
      <c r="C27" s="73">
        <v>50.0</v>
      </c>
      <c r="D27" s="69" t="s">
        <v>96</v>
      </c>
      <c r="E27" s="84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 ht="22.5" customHeight="1">
      <c r="A28" s="71">
        <v>46030.0</v>
      </c>
      <c r="B28" s="79" t="s">
        <v>121</v>
      </c>
      <c r="C28" s="73">
        <v>14.3</v>
      </c>
      <c r="D28" s="69" t="s">
        <v>88</v>
      </c>
      <c r="E28" s="84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 ht="22.5" customHeight="1">
      <c r="A29" s="71">
        <v>46030.0</v>
      </c>
      <c r="B29" s="79" t="s">
        <v>123</v>
      </c>
      <c r="C29" s="73">
        <v>15.52</v>
      </c>
      <c r="D29" s="69" t="s">
        <v>109</v>
      </c>
      <c r="E29" s="84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 ht="22.5" customHeight="1">
      <c r="A30" s="71">
        <v>46031.0</v>
      </c>
      <c r="B30" s="79" t="s">
        <v>78</v>
      </c>
      <c r="C30" s="73">
        <v>1.12</v>
      </c>
      <c r="D30" s="69" t="s">
        <v>79</v>
      </c>
      <c r="E30" s="84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 ht="22.5" customHeight="1">
      <c r="A31" s="74">
        <v>46032.0</v>
      </c>
      <c r="B31" s="75" t="s">
        <v>97</v>
      </c>
      <c r="C31" s="76">
        <v>4.51</v>
      </c>
      <c r="D31" s="65" t="s">
        <v>90</v>
      </c>
      <c r="E31" s="84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 ht="22.5" customHeight="1">
      <c r="A32" s="74">
        <v>46032.0</v>
      </c>
      <c r="B32" s="75" t="s">
        <v>97</v>
      </c>
      <c r="C32" s="76">
        <v>16.94</v>
      </c>
      <c r="D32" s="65" t="s">
        <v>90</v>
      </c>
      <c r="E32" s="84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 ht="22.5" customHeight="1">
      <c r="A33" s="74">
        <v>46032.0</v>
      </c>
      <c r="B33" s="75" t="s">
        <v>127</v>
      </c>
      <c r="C33" s="76">
        <v>12.99</v>
      </c>
      <c r="D33" s="65" t="s">
        <v>102</v>
      </c>
      <c r="E33" s="84"/>
      <c r="F33" s="82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 ht="22.5" customHeight="1">
      <c r="A34" s="85">
        <v>46032.0</v>
      </c>
      <c r="B34" s="86" t="s">
        <v>128</v>
      </c>
      <c r="C34" s="87">
        <v>12.41</v>
      </c>
      <c r="D34" s="69" t="s">
        <v>85</v>
      </c>
      <c r="E34" s="84"/>
      <c r="F34" s="82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 ht="22.5" customHeight="1">
      <c r="A35" s="88">
        <v>46033.0</v>
      </c>
      <c r="B35" s="89" t="s">
        <v>97</v>
      </c>
      <c r="C35" s="90">
        <v>6.77</v>
      </c>
      <c r="D35" s="69" t="s">
        <v>90</v>
      </c>
      <c r="E35" s="91"/>
      <c r="F35" s="82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 ht="22.5" customHeight="1">
      <c r="A36" s="88">
        <v>46034.0</v>
      </c>
      <c r="B36" s="89" t="s">
        <v>129</v>
      </c>
      <c r="C36" s="90">
        <v>133.6</v>
      </c>
      <c r="D36" s="69" t="s">
        <v>125</v>
      </c>
      <c r="E36" s="91"/>
      <c r="F36" s="82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 ht="22.5" customHeight="1">
      <c r="A37" s="88">
        <v>46034.0</v>
      </c>
      <c r="B37" s="89" t="s">
        <v>129</v>
      </c>
      <c r="C37" s="90">
        <v>139.67</v>
      </c>
      <c r="D37" s="69" t="s">
        <v>125</v>
      </c>
      <c r="E37" s="91"/>
      <c r="F37" s="82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 ht="22.5" customHeight="1">
      <c r="A38" s="92">
        <v>46035.0</v>
      </c>
      <c r="B38" s="93" t="s">
        <v>130</v>
      </c>
      <c r="C38" s="94">
        <v>11.29</v>
      </c>
      <c r="D38" s="69" t="s">
        <v>79</v>
      </c>
      <c r="E38" s="91"/>
      <c r="F38" s="82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 ht="22.5" customHeight="1">
      <c r="A39" s="92">
        <v>46035.0</v>
      </c>
      <c r="B39" s="93" t="s">
        <v>116</v>
      </c>
      <c r="C39" s="94">
        <v>80.0</v>
      </c>
      <c r="D39" s="69" t="s">
        <v>93</v>
      </c>
      <c r="E39" s="91"/>
      <c r="F39" s="82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 ht="22.5" customHeight="1">
      <c r="A40" s="92">
        <v>46035.0</v>
      </c>
      <c r="B40" s="93" t="s">
        <v>118</v>
      </c>
      <c r="C40" s="94">
        <v>80.62</v>
      </c>
      <c r="D40" s="69" t="s">
        <v>109</v>
      </c>
      <c r="E40" s="84"/>
      <c r="F40" s="82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 ht="22.5" customHeight="1">
      <c r="A41" s="92">
        <v>46035.0</v>
      </c>
      <c r="B41" s="93" t="s">
        <v>123</v>
      </c>
      <c r="C41" s="94">
        <v>16.68</v>
      </c>
      <c r="D41" s="69" t="s">
        <v>109</v>
      </c>
      <c r="E41" s="84"/>
      <c r="F41" s="82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 ht="22.5" customHeight="1">
      <c r="A42" s="88">
        <v>46035.0</v>
      </c>
      <c r="B42" s="89" t="s">
        <v>104</v>
      </c>
      <c r="C42" s="90">
        <v>28.97</v>
      </c>
      <c r="D42" s="69" t="s">
        <v>103</v>
      </c>
      <c r="E42" s="95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 ht="22.5" customHeight="1">
      <c r="A43" s="92">
        <v>46036.0</v>
      </c>
      <c r="B43" s="96" t="s">
        <v>131</v>
      </c>
      <c r="C43" s="94">
        <v>5.9</v>
      </c>
      <c r="D43" s="69" t="s">
        <v>125</v>
      </c>
      <c r="E43" s="95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 ht="22.5" customHeight="1">
      <c r="A44" s="88">
        <v>46037.0</v>
      </c>
      <c r="B44" s="89" t="s">
        <v>132</v>
      </c>
      <c r="C44" s="90">
        <v>-4832.24</v>
      </c>
      <c r="D44" s="69" t="s">
        <v>119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 ht="22.5" customHeight="1">
      <c r="A45" s="92">
        <v>46038.0</v>
      </c>
      <c r="B45" s="93" t="s">
        <v>133</v>
      </c>
      <c r="C45" s="94">
        <v>245.02</v>
      </c>
      <c r="D45" s="69" t="s">
        <v>125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 ht="22.5" customHeight="1">
      <c r="A46" s="92">
        <v>46039.0</v>
      </c>
      <c r="B46" s="93" t="s">
        <v>134</v>
      </c>
      <c r="C46" s="94">
        <v>11.74</v>
      </c>
      <c r="D46" s="69" t="s">
        <v>85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 ht="22.5" customHeight="1">
      <c r="A47" s="88">
        <v>46039.0</v>
      </c>
      <c r="B47" s="89" t="s">
        <v>135</v>
      </c>
      <c r="C47" s="90">
        <v>107.35</v>
      </c>
      <c r="D47" s="69" t="s">
        <v>117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ht="22.5" customHeight="1">
      <c r="A48" s="92">
        <v>46039.0</v>
      </c>
      <c r="B48" s="97" t="s">
        <v>136</v>
      </c>
      <c r="C48" s="90">
        <v>20.22</v>
      </c>
      <c r="D48" s="69" t="s">
        <v>122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ht="22.5" customHeight="1">
      <c r="A49" s="92">
        <v>46039.0</v>
      </c>
      <c r="B49" s="97" t="s">
        <v>137</v>
      </c>
      <c r="C49" s="90">
        <v>135.15</v>
      </c>
      <c r="D49" s="69" t="s">
        <v>115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ht="22.5" customHeight="1">
      <c r="A50" s="92">
        <v>46040.0</v>
      </c>
      <c r="B50" s="93" t="s">
        <v>138</v>
      </c>
      <c r="C50" s="94">
        <v>20.81</v>
      </c>
      <c r="D50" s="69" t="s">
        <v>77</v>
      </c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ht="22.5" customHeight="1">
      <c r="A51" s="92">
        <v>46040.0</v>
      </c>
      <c r="B51" s="98" t="s">
        <v>139</v>
      </c>
      <c r="C51" s="94">
        <v>43.16</v>
      </c>
      <c r="D51" s="69" t="s">
        <v>109</v>
      </c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ht="22.5" customHeight="1">
      <c r="A52" s="92">
        <v>46040.0</v>
      </c>
      <c r="B52" s="99" t="s">
        <v>106</v>
      </c>
      <c r="C52" s="94">
        <v>14.68</v>
      </c>
      <c r="D52" s="69" t="s">
        <v>90</v>
      </c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ht="22.5" customHeight="1">
      <c r="A53" s="92">
        <v>46041.0</v>
      </c>
      <c r="B53" s="72" t="s">
        <v>140</v>
      </c>
      <c r="C53" s="90">
        <v>235.0</v>
      </c>
      <c r="D53" s="69" t="s">
        <v>107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ht="22.5" customHeight="1">
      <c r="A54" s="92">
        <v>46041.0</v>
      </c>
      <c r="B54" s="100" t="s">
        <v>141</v>
      </c>
      <c r="C54" s="90">
        <v>38.65</v>
      </c>
      <c r="D54" s="69" t="s">
        <v>125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ht="22.5" customHeight="1">
      <c r="A55" s="92">
        <v>46042.0</v>
      </c>
      <c r="B55" s="72" t="s">
        <v>142</v>
      </c>
      <c r="C55" s="90">
        <v>30.29</v>
      </c>
      <c r="D55" s="69" t="s">
        <v>125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ht="22.5" customHeight="1">
      <c r="A56" s="92">
        <v>46042.0</v>
      </c>
      <c r="B56" s="72" t="s">
        <v>143</v>
      </c>
      <c r="C56" s="90">
        <v>45.2</v>
      </c>
      <c r="D56" s="69" t="s">
        <v>124</v>
      </c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ht="22.5" customHeight="1">
      <c r="A57" s="92">
        <v>46042.0</v>
      </c>
      <c r="B57" s="100" t="s">
        <v>144</v>
      </c>
      <c r="C57" s="90">
        <v>35.99</v>
      </c>
      <c r="D57" s="69" t="s">
        <v>109</v>
      </c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ht="22.5" customHeight="1">
      <c r="A58" s="92">
        <v>46042.0</v>
      </c>
      <c r="B58" s="97" t="s">
        <v>135</v>
      </c>
      <c r="C58" s="90">
        <v>184.86</v>
      </c>
      <c r="D58" s="69" t="s">
        <v>117</v>
      </c>
      <c r="E58" s="101"/>
      <c r="F58" s="101"/>
      <c r="G58" s="101"/>
      <c r="H58" s="102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ht="22.5" customHeight="1">
      <c r="A59" s="92">
        <v>46042.0</v>
      </c>
      <c r="B59" s="97" t="s">
        <v>145</v>
      </c>
      <c r="C59" s="90">
        <v>113.03</v>
      </c>
      <c r="D59" s="69" t="s">
        <v>125</v>
      </c>
      <c r="E59" s="84"/>
      <c r="F59" s="82"/>
      <c r="G59" s="82"/>
      <c r="H59" s="82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ht="22.5" customHeight="1">
      <c r="A60" s="92">
        <v>46043.0</v>
      </c>
      <c r="B60" s="97" t="s">
        <v>146</v>
      </c>
      <c r="C60" s="90">
        <v>22.88</v>
      </c>
      <c r="D60" s="69" t="s">
        <v>125</v>
      </c>
      <c r="E60" s="84"/>
      <c r="F60" s="82"/>
      <c r="G60" s="82"/>
      <c r="H60" s="82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ht="22.5" customHeight="1">
      <c r="A61" s="92">
        <v>46043.0</v>
      </c>
      <c r="B61" s="97" t="s">
        <v>146</v>
      </c>
      <c r="C61" s="90">
        <v>30.51</v>
      </c>
      <c r="D61" s="69" t="s">
        <v>125</v>
      </c>
      <c r="E61" s="84"/>
      <c r="F61" s="82"/>
      <c r="G61" s="82"/>
      <c r="H61" s="82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ht="22.5" customHeight="1">
      <c r="A62" s="92">
        <v>46043.0</v>
      </c>
      <c r="B62" s="97" t="s">
        <v>147</v>
      </c>
      <c r="C62" s="90">
        <v>46.93</v>
      </c>
      <c r="D62" s="69" t="s">
        <v>125</v>
      </c>
      <c r="E62" s="84"/>
      <c r="F62" s="82"/>
      <c r="G62" s="82"/>
      <c r="H62" s="82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ht="22.5" customHeight="1">
      <c r="A63" s="92">
        <v>46044.0</v>
      </c>
      <c r="B63" s="103" t="s">
        <v>106</v>
      </c>
      <c r="C63" s="90">
        <v>10.71</v>
      </c>
      <c r="D63" s="69" t="s">
        <v>90</v>
      </c>
      <c r="E63" s="84"/>
      <c r="F63" s="82"/>
      <c r="G63" s="84"/>
      <c r="H63" s="82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ht="22.5" customHeight="1">
      <c r="A64" s="92">
        <v>46044.0</v>
      </c>
      <c r="B64" s="97" t="s">
        <v>148</v>
      </c>
      <c r="C64" s="90">
        <v>38.44</v>
      </c>
      <c r="D64" s="69" t="s">
        <v>125</v>
      </c>
      <c r="E64" s="84"/>
      <c r="F64" s="82"/>
      <c r="G64" s="84"/>
      <c r="H64" s="82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ht="22.5" customHeight="1">
      <c r="A65" s="92">
        <v>46044.0</v>
      </c>
      <c r="B65" s="97" t="s">
        <v>149</v>
      </c>
      <c r="C65" s="90">
        <v>242.66</v>
      </c>
      <c r="D65" s="69" t="s">
        <v>125</v>
      </c>
      <c r="E65" s="84"/>
      <c r="F65" s="82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ht="22.5" customHeight="1">
      <c r="A66" s="92">
        <v>46044.0</v>
      </c>
      <c r="B66" s="97" t="s">
        <v>150</v>
      </c>
      <c r="C66" s="90">
        <v>18.89</v>
      </c>
      <c r="D66" s="69" t="s">
        <v>125</v>
      </c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ht="22.5" customHeight="1">
      <c r="A67" s="92">
        <v>46044.0</v>
      </c>
      <c r="B67" s="97" t="s">
        <v>151</v>
      </c>
      <c r="C67" s="90">
        <v>34.41</v>
      </c>
      <c r="D67" s="69" t="s">
        <v>125</v>
      </c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ht="22.5" customHeight="1">
      <c r="A68" s="92">
        <v>46044.0</v>
      </c>
      <c r="B68" s="97" t="s">
        <v>152</v>
      </c>
      <c r="C68" s="90">
        <v>22.37</v>
      </c>
      <c r="D68" s="69" t="s">
        <v>125</v>
      </c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ht="22.5" customHeight="1">
      <c r="A69" s="92">
        <v>46044.0</v>
      </c>
      <c r="B69" s="97" t="s">
        <v>152</v>
      </c>
      <c r="C69" s="90">
        <v>50.04</v>
      </c>
      <c r="D69" s="69" t="s">
        <v>125</v>
      </c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ht="22.5" customHeight="1">
      <c r="A70" s="92">
        <v>46044.0</v>
      </c>
      <c r="B70" s="97" t="s">
        <v>153</v>
      </c>
      <c r="C70" s="90">
        <v>21.11</v>
      </c>
      <c r="D70" s="69" t="s">
        <v>125</v>
      </c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ht="22.5" customHeight="1">
      <c r="A71" s="92">
        <v>46044.0</v>
      </c>
      <c r="B71" s="97" t="s">
        <v>154</v>
      </c>
      <c r="C71" s="90">
        <v>540.01</v>
      </c>
      <c r="D71" s="69" t="s">
        <v>125</v>
      </c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ht="22.5" customHeight="1">
      <c r="A72" s="92">
        <v>46045.0</v>
      </c>
      <c r="B72" s="67" t="s">
        <v>155</v>
      </c>
      <c r="C72" s="90">
        <v>130.0</v>
      </c>
      <c r="D72" s="69" t="s">
        <v>103</v>
      </c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ht="22.5" customHeight="1">
      <c r="A73" s="92">
        <v>46045.0</v>
      </c>
      <c r="B73" s="97" t="s">
        <v>156</v>
      </c>
      <c r="C73" s="90">
        <v>22.58</v>
      </c>
      <c r="D73" s="69" t="s">
        <v>125</v>
      </c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ht="22.5" customHeight="1">
      <c r="A74" s="92">
        <v>46045.0</v>
      </c>
      <c r="B74" s="97" t="s">
        <v>157</v>
      </c>
      <c r="C74" s="90">
        <v>1670.13</v>
      </c>
      <c r="D74" s="69" t="s">
        <v>125</v>
      </c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ht="22.5" customHeight="1">
      <c r="A75" s="92">
        <v>46045.0</v>
      </c>
      <c r="B75" s="97" t="s">
        <v>158</v>
      </c>
      <c r="C75" s="90">
        <v>31.31</v>
      </c>
      <c r="D75" s="69" t="s">
        <v>125</v>
      </c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ht="22.5" customHeight="1">
      <c r="A76" s="92">
        <v>46046.0</v>
      </c>
      <c r="B76" s="67" t="s">
        <v>78</v>
      </c>
      <c r="C76" s="90">
        <v>13.55</v>
      </c>
      <c r="D76" s="69" t="s">
        <v>79</v>
      </c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ht="22.5" customHeight="1">
      <c r="A77" s="92">
        <v>46046.0</v>
      </c>
      <c r="B77" s="67" t="s">
        <v>84</v>
      </c>
      <c r="C77" s="90">
        <v>47.06</v>
      </c>
      <c r="D77" s="69" t="s">
        <v>85</v>
      </c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ht="22.5" customHeight="1">
      <c r="A78" s="92">
        <v>46046.0</v>
      </c>
      <c r="B78" s="97" t="s">
        <v>104</v>
      </c>
      <c r="C78" s="90">
        <v>350.17</v>
      </c>
      <c r="D78" s="69" t="s">
        <v>103</v>
      </c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ht="22.5" customHeight="1">
      <c r="A79" s="92">
        <v>46048.0</v>
      </c>
      <c r="B79" s="97" t="s">
        <v>78</v>
      </c>
      <c r="C79" s="90">
        <v>10.16</v>
      </c>
      <c r="D79" s="69" t="s">
        <v>79</v>
      </c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ht="22.5" customHeight="1">
      <c r="A80" s="92">
        <v>46049.0</v>
      </c>
      <c r="B80" s="97" t="s">
        <v>104</v>
      </c>
      <c r="C80" s="90">
        <v>28.97</v>
      </c>
      <c r="D80" s="69" t="s">
        <v>103</v>
      </c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ht="22.5" customHeight="1">
      <c r="A81" s="92">
        <v>46049.0</v>
      </c>
      <c r="B81" s="97" t="s">
        <v>159</v>
      </c>
      <c r="C81" s="90">
        <v>13.0</v>
      </c>
      <c r="D81" s="69" t="s">
        <v>109</v>
      </c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ht="22.5" customHeight="1">
      <c r="A82" s="92">
        <v>46049.0</v>
      </c>
      <c r="B82" s="97" t="s">
        <v>159</v>
      </c>
      <c r="C82" s="90">
        <v>170.0</v>
      </c>
      <c r="D82" s="69" t="s">
        <v>109</v>
      </c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ht="22.5" customHeight="1">
      <c r="A83" s="92">
        <v>46049.0</v>
      </c>
      <c r="B83" s="97" t="s">
        <v>144</v>
      </c>
      <c r="C83" s="90">
        <v>35.99</v>
      </c>
      <c r="D83" s="69" t="s">
        <v>109</v>
      </c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ht="22.5" customHeight="1">
      <c r="A84" s="92">
        <v>46049.0</v>
      </c>
      <c r="B84" s="97" t="s">
        <v>118</v>
      </c>
      <c r="C84" s="90">
        <v>169.49</v>
      </c>
      <c r="D84" s="69" t="s">
        <v>109</v>
      </c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ht="22.5" customHeight="1">
      <c r="A85" s="92">
        <v>46051.0</v>
      </c>
      <c r="B85" s="97" t="s">
        <v>104</v>
      </c>
      <c r="C85" s="90">
        <v>28.97</v>
      </c>
      <c r="D85" s="69" t="s">
        <v>103</v>
      </c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ht="22.5" customHeight="1">
      <c r="A86" s="92">
        <v>46051.0</v>
      </c>
      <c r="B86" s="97" t="s">
        <v>160</v>
      </c>
      <c r="C86" s="90">
        <v>117.24</v>
      </c>
      <c r="D86" s="69" t="s">
        <v>98</v>
      </c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ht="22.5" customHeight="1">
      <c r="A87" s="92">
        <v>46051.0</v>
      </c>
      <c r="B87" s="97" t="s">
        <v>161</v>
      </c>
      <c r="C87" s="90">
        <v>24.28</v>
      </c>
      <c r="D87" s="69" t="s">
        <v>83</v>
      </c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ht="22.5" customHeight="1">
      <c r="A88" s="92">
        <v>46051.0</v>
      </c>
      <c r="B88" s="97" t="s">
        <v>110</v>
      </c>
      <c r="C88" s="90">
        <v>86.42</v>
      </c>
      <c r="D88" s="69" t="s">
        <v>111</v>
      </c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ht="22.5" customHeight="1">
      <c r="A89" s="92">
        <v>46051.0</v>
      </c>
      <c r="B89" s="97" t="s">
        <v>116</v>
      </c>
      <c r="C89" s="90">
        <v>68.0</v>
      </c>
      <c r="D89" s="69" t="s">
        <v>93</v>
      </c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ht="22.5" customHeight="1">
      <c r="A90" s="92">
        <v>46051.0</v>
      </c>
      <c r="B90" s="97" t="s">
        <v>162</v>
      </c>
      <c r="C90" s="90">
        <v>-2980.92</v>
      </c>
      <c r="D90" s="69" t="s">
        <v>119</v>
      </c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ht="22.5" customHeight="1">
      <c r="A91" s="92">
        <v>46052.0</v>
      </c>
      <c r="B91" s="97" t="s">
        <v>163</v>
      </c>
      <c r="C91" s="90">
        <v>24.21</v>
      </c>
      <c r="D91" s="69" t="s">
        <v>88</v>
      </c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ht="22.5" customHeight="1">
      <c r="A92" s="92">
        <v>46052.0</v>
      </c>
      <c r="B92" s="97" t="s">
        <v>164</v>
      </c>
      <c r="C92" s="90">
        <v>52.39</v>
      </c>
      <c r="D92" s="69" t="s">
        <v>94</v>
      </c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ht="22.5" customHeight="1">
      <c r="A93" s="92">
        <v>46052.0</v>
      </c>
      <c r="B93" s="97" t="s">
        <v>165</v>
      </c>
      <c r="C93" s="90">
        <v>67.26</v>
      </c>
      <c r="D93" s="69" t="s">
        <v>88</v>
      </c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ht="22.5" customHeight="1">
      <c r="A94" s="92">
        <v>46052.0</v>
      </c>
      <c r="B94" s="97" t="s">
        <v>166</v>
      </c>
      <c r="C94" s="90">
        <v>250.0</v>
      </c>
      <c r="D94" s="69" t="s">
        <v>88</v>
      </c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ht="22.5" customHeight="1">
      <c r="A95" s="104">
        <v>46052.0</v>
      </c>
      <c r="B95" s="105" t="s">
        <v>167</v>
      </c>
      <c r="C95" s="106">
        <v>12.41</v>
      </c>
      <c r="D95" s="69" t="s">
        <v>85</v>
      </c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ht="22.5" customHeight="1">
      <c r="A96" s="107">
        <v>46053.0</v>
      </c>
      <c r="B96" s="108" t="s">
        <v>160</v>
      </c>
      <c r="C96" s="109">
        <v>117.24</v>
      </c>
      <c r="D96" s="69" t="s">
        <v>98</v>
      </c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ht="22.5" customHeight="1">
      <c r="A97" s="107">
        <v>46053.0</v>
      </c>
      <c r="B97" s="108" t="s">
        <v>110</v>
      </c>
      <c r="C97" s="109">
        <v>133.33</v>
      </c>
      <c r="D97" s="69" t="s">
        <v>111</v>
      </c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61"/>
      <c r="B111" s="61"/>
      <c r="C111" s="7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1"/>
      <c r="B112" s="61"/>
      <c r="C112" s="7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1"/>
      <c r="B113" s="61"/>
      <c r="C113" s="7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1"/>
      <c r="B114" s="61"/>
      <c r="C114" s="7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1"/>
      <c r="B115" s="61"/>
      <c r="C115" s="7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1"/>
      <c r="B116" s="61"/>
      <c r="C116" s="112"/>
      <c r="D116" s="81"/>
      <c r="E116" s="113"/>
      <c r="F116" s="81"/>
      <c r="G116" s="8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1"/>
      <c r="B117" s="61"/>
      <c r="C117" s="114"/>
      <c r="D117" s="115"/>
      <c r="E117" s="84"/>
      <c r="F117" s="82"/>
      <c r="G117" s="82"/>
      <c r="H117" s="82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1"/>
      <c r="B118" s="61"/>
      <c r="C118" s="114"/>
      <c r="D118" s="115"/>
      <c r="E118" s="84"/>
      <c r="F118" s="82"/>
      <c r="G118" s="82"/>
      <c r="H118" s="82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114"/>
      <c r="D119" s="115"/>
      <c r="E119" s="84"/>
      <c r="F119" s="82"/>
      <c r="G119" s="82"/>
      <c r="H119" s="82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114"/>
      <c r="D120" s="115"/>
      <c r="E120" s="84"/>
      <c r="F120" s="82"/>
      <c r="G120" s="82"/>
      <c r="H120" s="82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1"/>
      <c r="B121" s="61"/>
      <c r="C121" s="114"/>
      <c r="D121" s="115"/>
      <c r="E121" s="84"/>
      <c r="F121" s="82"/>
      <c r="G121" s="82"/>
      <c r="H121" s="82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1"/>
      <c r="B122" s="61"/>
      <c r="C122" s="114"/>
      <c r="D122" s="115"/>
      <c r="E122" s="84"/>
      <c r="F122" s="82"/>
      <c r="G122" s="84"/>
      <c r="H122" s="82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114"/>
      <c r="D123" s="115"/>
      <c r="E123" s="84"/>
      <c r="F123" s="82"/>
      <c r="G123" s="84"/>
      <c r="H123" s="82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114"/>
      <c r="D124" s="115"/>
      <c r="E124" s="116"/>
      <c r="F124" s="84"/>
      <c r="G124" s="84"/>
      <c r="H124" s="82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114"/>
      <c r="D125" s="115"/>
      <c r="E125" s="84"/>
      <c r="F125" s="82"/>
      <c r="G125" s="84"/>
      <c r="H125" s="82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114"/>
      <c r="D126" s="115"/>
      <c r="E126" s="84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</sheetData>
  <dataValidations>
    <dataValidation type="custom" allowBlank="1" showDropDown="1" sqref="A2:A97">
      <formula1>OR(NOT(ISERROR(DATEVALUE(A2))), AND(ISNUMBER(A2), LEFT(CELL("format", A2))="D"))</formula1>
    </dataValidation>
    <dataValidation type="custom" allowBlank="1" showDropDown="1" sqref="C2:C97">
      <formula1>AND(ISNUMBER(C2),(NOT(OR(NOT(ISERROR(DATEVALUE(C2))), AND(ISNUMBER(C2), LEFT(CELL("format", C2))="D")))))</formula1>
    </dataValidation>
    <dataValidation type="list" allowBlank="1" sqref="D2:D97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SUB,NETFLIX,CAR"</formula1>
    </dataValidation>
  </dataValidations>
  <hyperlinks>
    <hyperlink r:id="rId2" ref="B14"/>
    <hyperlink r:id="rId3" ref="B17"/>
    <hyperlink r:id="rId4" ref="B43"/>
    <hyperlink r:id="rId5" ref="B52"/>
    <hyperlink r:id="rId6" ref="B63"/>
  </hyperlinks>
  <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34.78"/>
    <col customWidth="1" min="6" max="6" width="17.11"/>
    <col customWidth="1" min="7" max="7" width="16.0"/>
  </cols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119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20">
        <v>46054.0</v>
      </c>
      <c r="B2" s="121" t="s">
        <v>168</v>
      </c>
      <c r="C2" s="122">
        <v>122.76</v>
      </c>
      <c r="D2" s="123" t="s">
        <v>77</v>
      </c>
      <c r="E2" s="61"/>
      <c r="F2" s="119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>
      <c r="A3" s="120">
        <v>46054.0</v>
      </c>
      <c r="B3" s="121" t="s">
        <v>169</v>
      </c>
      <c r="C3" s="122">
        <v>120.33</v>
      </c>
      <c r="D3" s="123" t="s">
        <v>88</v>
      </c>
      <c r="E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>
      <c r="A4" s="120">
        <v>46054.0</v>
      </c>
      <c r="B4" s="121" t="s">
        <v>170</v>
      </c>
      <c r="C4" s="122">
        <v>-81.06</v>
      </c>
      <c r="D4" s="123" t="s">
        <v>119</v>
      </c>
      <c r="E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20">
        <v>46054.0</v>
      </c>
      <c r="B5" s="121" t="s">
        <v>78</v>
      </c>
      <c r="C5" s="122">
        <v>6.77</v>
      </c>
      <c r="D5" s="123" t="s">
        <v>79</v>
      </c>
      <c r="E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20">
        <v>46054.0</v>
      </c>
      <c r="B6" s="121" t="s">
        <v>172</v>
      </c>
      <c r="C6" s="122">
        <v>90.39</v>
      </c>
      <c r="D6" s="123" t="s">
        <v>107</v>
      </c>
      <c r="E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20">
        <v>46054.0</v>
      </c>
      <c r="B7" s="121" t="s">
        <v>173</v>
      </c>
      <c r="C7" s="122">
        <v>99.99</v>
      </c>
      <c r="D7" s="123" t="s">
        <v>107</v>
      </c>
      <c r="E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20">
        <v>46054.0</v>
      </c>
      <c r="B8" s="121" t="s">
        <v>80</v>
      </c>
      <c r="C8" s="122">
        <v>79.1</v>
      </c>
      <c r="D8" s="123" t="s">
        <v>81</v>
      </c>
      <c r="E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20">
        <v>46055.0</v>
      </c>
      <c r="B9" s="121" t="s">
        <v>159</v>
      </c>
      <c r="C9" s="122">
        <v>-122.46</v>
      </c>
      <c r="D9" s="123" t="s">
        <v>119</v>
      </c>
      <c r="E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>
      <c r="A10" s="120">
        <v>46055.0</v>
      </c>
      <c r="B10" s="124" t="s">
        <v>174</v>
      </c>
      <c r="C10" s="122">
        <v>29.18</v>
      </c>
      <c r="D10" s="123" t="s">
        <v>98</v>
      </c>
      <c r="E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20">
        <v>46056.0</v>
      </c>
      <c r="B11" s="121" t="s">
        <v>104</v>
      </c>
      <c r="C11" s="122">
        <v>32.19</v>
      </c>
      <c r="D11" s="123" t="s">
        <v>103</v>
      </c>
      <c r="E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120">
        <v>46056.0</v>
      </c>
      <c r="B12" s="121" t="s">
        <v>176</v>
      </c>
      <c r="C12" s="122">
        <v>35.99</v>
      </c>
      <c r="D12" s="123" t="s">
        <v>109</v>
      </c>
      <c r="E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25">
        <v>46056.0</v>
      </c>
      <c r="B13" s="126" t="s">
        <v>95</v>
      </c>
      <c r="C13" s="127">
        <v>3.38</v>
      </c>
      <c r="D13" s="123" t="s">
        <v>79</v>
      </c>
      <c r="E13" s="128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>
      <c r="A14" s="125">
        <v>46056.0</v>
      </c>
      <c r="B14" s="126" t="s">
        <v>123</v>
      </c>
      <c r="C14" s="127">
        <v>16.68</v>
      </c>
      <c r="D14" s="123" t="s">
        <v>109</v>
      </c>
      <c r="E14" s="128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>
      <c r="A15" s="120">
        <v>46058.0</v>
      </c>
      <c r="B15" s="121" t="s">
        <v>104</v>
      </c>
      <c r="C15" s="122">
        <v>32.19</v>
      </c>
      <c r="D15" s="123" t="s">
        <v>103</v>
      </c>
      <c r="E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25">
        <v>46058.0</v>
      </c>
      <c r="B16" s="126" t="s">
        <v>177</v>
      </c>
      <c r="C16" s="127">
        <v>40.0</v>
      </c>
      <c r="D16" s="123" t="s">
        <v>88</v>
      </c>
      <c r="E16" s="128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A17" s="125">
        <v>46058.0</v>
      </c>
      <c r="B17" s="130" t="s">
        <v>101</v>
      </c>
      <c r="C17" s="127">
        <v>15.86</v>
      </c>
      <c r="D17" s="123" t="s">
        <v>102</v>
      </c>
      <c r="E17" s="128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A18" s="131">
        <v>46058.0</v>
      </c>
      <c r="B18" s="132" t="s">
        <v>134</v>
      </c>
      <c r="C18" s="133">
        <v>24.39</v>
      </c>
      <c r="D18" s="123" t="s">
        <v>85</v>
      </c>
      <c r="E18" s="128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A19" s="131">
        <v>46059.0</v>
      </c>
      <c r="B19" s="134" t="s">
        <v>106</v>
      </c>
      <c r="C19" s="133">
        <v>10.16</v>
      </c>
      <c r="D19" s="123" t="s">
        <v>90</v>
      </c>
      <c r="E19" s="128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A20" s="131">
        <v>46059.0</v>
      </c>
      <c r="B20" s="132" t="s">
        <v>179</v>
      </c>
      <c r="C20" s="133">
        <v>52.56</v>
      </c>
      <c r="D20" s="123" t="s">
        <v>85</v>
      </c>
      <c r="E20" s="128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A21" s="135">
        <v>46060.0</v>
      </c>
      <c r="B21" s="136" t="s">
        <v>180</v>
      </c>
      <c r="C21" s="137">
        <v>6.77</v>
      </c>
      <c r="D21" s="123" t="s">
        <v>90</v>
      </c>
      <c r="E21" s="95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31">
        <v>46060.0</v>
      </c>
      <c r="B22" s="132" t="s">
        <v>181</v>
      </c>
      <c r="C22" s="133">
        <v>40.8</v>
      </c>
      <c r="D22" s="123" t="s">
        <v>85</v>
      </c>
      <c r="E22" s="128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>
      <c r="A23" s="131">
        <v>46061.0</v>
      </c>
      <c r="B23" s="132" t="s">
        <v>182</v>
      </c>
      <c r="C23" s="133">
        <v>65.46</v>
      </c>
      <c r="D23" s="123" t="s">
        <v>171</v>
      </c>
      <c r="E23" s="128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>
      <c r="A24" s="131">
        <v>46061.0</v>
      </c>
      <c r="B24" s="132" t="s">
        <v>78</v>
      </c>
      <c r="C24" s="138">
        <v>-7.0</v>
      </c>
      <c r="D24" s="123" t="s">
        <v>79</v>
      </c>
      <c r="E24" s="128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>
      <c r="A25" s="131">
        <v>46061.0</v>
      </c>
      <c r="B25" s="132" t="s">
        <v>78</v>
      </c>
      <c r="C25" s="133">
        <v>37.28</v>
      </c>
      <c r="D25" s="123" t="s">
        <v>79</v>
      </c>
      <c r="E25" s="128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>
      <c r="A26" s="131">
        <v>46061.0</v>
      </c>
      <c r="B26" s="132" t="s">
        <v>120</v>
      </c>
      <c r="C26" s="133">
        <v>50.0</v>
      </c>
      <c r="D26" s="123" t="s">
        <v>96</v>
      </c>
      <c r="E26" s="128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>
      <c r="A27" s="131">
        <v>46061.0</v>
      </c>
      <c r="B27" s="132" t="s">
        <v>110</v>
      </c>
      <c r="C27" s="133">
        <v>158.08</v>
      </c>
      <c r="D27" s="123" t="s">
        <v>111</v>
      </c>
      <c r="E27" s="128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>
      <c r="A28" s="131">
        <v>46061.0</v>
      </c>
      <c r="B28" s="132" t="s">
        <v>118</v>
      </c>
      <c r="C28" s="133">
        <v>54.43</v>
      </c>
      <c r="D28" s="123" t="s">
        <v>109</v>
      </c>
      <c r="E28" s="128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>
      <c r="A29" s="131">
        <v>46062.0</v>
      </c>
      <c r="B29" s="132" t="s">
        <v>78</v>
      </c>
      <c r="C29" s="133">
        <v>1.12</v>
      </c>
      <c r="D29" s="123" t="s">
        <v>79</v>
      </c>
      <c r="E29" s="128"/>
      <c r="F29" s="129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>
      <c r="A30" s="135">
        <v>46063.0</v>
      </c>
      <c r="B30" s="136" t="s">
        <v>104</v>
      </c>
      <c r="C30" s="137">
        <v>32.19</v>
      </c>
      <c r="D30" s="123" t="s">
        <v>103</v>
      </c>
      <c r="E30" s="95"/>
      <c r="F30" s="119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35">
        <v>46063.0</v>
      </c>
      <c r="B31" s="136" t="s">
        <v>180</v>
      </c>
      <c r="C31" s="137">
        <v>4.51</v>
      </c>
      <c r="D31" s="123" t="s">
        <v>90</v>
      </c>
      <c r="E31" s="95"/>
      <c r="F31" s="119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35">
        <v>46063.0</v>
      </c>
      <c r="B32" s="136" t="s">
        <v>184</v>
      </c>
      <c r="C32" s="137">
        <v>12.99</v>
      </c>
      <c r="D32" s="123" t="s">
        <v>102</v>
      </c>
      <c r="E32" s="95"/>
      <c r="F32" s="119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39">
        <v>46063.0</v>
      </c>
      <c r="B33" s="140" t="s">
        <v>144</v>
      </c>
      <c r="C33" s="141">
        <v>35.99</v>
      </c>
      <c r="D33" s="123" t="s">
        <v>109</v>
      </c>
      <c r="E33" s="61"/>
      <c r="F33" s="119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31">
        <v>46063.0</v>
      </c>
      <c r="B34" s="132" t="s">
        <v>113</v>
      </c>
      <c r="C34" s="133">
        <v>6.5</v>
      </c>
      <c r="D34" s="123" t="s">
        <v>171</v>
      </c>
      <c r="E34" s="128"/>
      <c r="F34" s="129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>
      <c r="A35" s="131">
        <v>46063.0</v>
      </c>
      <c r="B35" s="132" t="s">
        <v>123</v>
      </c>
      <c r="C35" s="133">
        <v>16.68</v>
      </c>
      <c r="D35" s="123" t="s">
        <v>109</v>
      </c>
      <c r="E35" s="128"/>
      <c r="F35" s="129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>
      <c r="A36" s="139">
        <v>46064.0</v>
      </c>
      <c r="B36" s="140" t="s">
        <v>185</v>
      </c>
      <c r="C36" s="141">
        <v>55.08</v>
      </c>
      <c r="D36" s="123" t="s">
        <v>85</v>
      </c>
      <c r="E36" s="61"/>
      <c r="F36" s="119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31">
        <v>46064.0</v>
      </c>
      <c r="B37" s="132" t="s">
        <v>113</v>
      </c>
      <c r="C37" s="133">
        <v>17.41</v>
      </c>
      <c r="D37" s="123" t="s">
        <v>171</v>
      </c>
      <c r="E37" s="128"/>
      <c r="F37" s="129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>
      <c r="A38" s="139">
        <v>46065.0</v>
      </c>
      <c r="B38" s="140" t="s">
        <v>104</v>
      </c>
      <c r="C38" s="141">
        <v>49.13</v>
      </c>
      <c r="D38" s="123" t="s">
        <v>103</v>
      </c>
      <c r="E38" s="61"/>
      <c r="F38" s="119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39">
        <v>46066.0</v>
      </c>
      <c r="B39" s="140" t="s">
        <v>104</v>
      </c>
      <c r="C39" s="141">
        <v>32.19</v>
      </c>
      <c r="D39" s="123" t="s">
        <v>103</v>
      </c>
      <c r="E39" s="61"/>
      <c r="F39" s="119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39">
        <v>46066.0</v>
      </c>
      <c r="B40" s="140" t="s">
        <v>186</v>
      </c>
      <c r="C40" s="141">
        <v>27.19</v>
      </c>
      <c r="D40" s="123" t="s">
        <v>109</v>
      </c>
      <c r="E40" s="61"/>
      <c r="F40" s="119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42">
        <v>46066.0</v>
      </c>
      <c r="B41" s="143" t="s">
        <v>132</v>
      </c>
      <c r="C41" s="144">
        <v>-2500.0</v>
      </c>
      <c r="D41" s="123" t="s">
        <v>119</v>
      </c>
      <c r="E41" s="145"/>
      <c r="F41" s="146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47">
        <v>46066.0</v>
      </c>
      <c r="B42" s="148" t="s">
        <v>187</v>
      </c>
      <c r="C42" s="149">
        <v>56.49</v>
      </c>
      <c r="D42" s="123" t="s">
        <v>83</v>
      </c>
      <c r="E42" s="145"/>
      <c r="F42" s="146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47">
        <v>46066.0</v>
      </c>
      <c r="B43" s="148" t="s">
        <v>188</v>
      </c>
      <c r="C43" s="149">
        <v>24.0</v>
      </c>
      <c r="D43" s="123" t="s">
        <v>171</v>
      </c>
      <c r="E43" s="145"/>
      <c r="F43" s="146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47">
        <v>46066.0</v>
      </c>
      <c r="B44" s="148" t="s">
        <v>188</v>
      </c>
      <c r="C44" s="149">
        <v>24.0</v>
      </c>
      <c r="D44" s="123" t="s">
        <v>171</v>
      </c>
      <c r="E44" s="145"/>
      <c r="F44" s="146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50">
        <v>46066.0</v>
      </c>
      <c r="B45" s="115" t="s">
        <v>130</v>
      </c>
      <c r="C45" s="151">
        <v>11.29</v>
      </c>
      <c r="D45" s="123" t="s">
        <v>79</v>
      </c>
      <c r="E45" s="84"/>
      <c r="F45" s="152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50">
        <v>46066.0</v>
      </c>
      <c r="B46" s="115" t="s">
        <v>189</v>
      </c>
      <c r="C46" s="151">
        <v>59.49</v>
      </c>
      <c r="D46" s="123" t="s">
        <v>85</v>
      </c>
      <c r="E46" s="84"/>
      <c r="F46" s="152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47">
        <v>46067.0</v>
      </c>
      <c r="B47" s="148" t="s">
        <v>190</v>
      </c>
      <c r="C47" s="149">
        <v>6.95</v>
      </c>
      <c r="D47" s="123" t="s">
        <v>85</v>
      </c>
      <c r="E47" s="145"/>
      <c r="F47" s="146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47">
        <v>46067.0</v>
      </c>
      <c r="B48" s="148" t="s">
        <v>190</v>
      </c>
      <c r="C48" s="149">
        <v>6.95</v>
      </c>
      <c r="D48" s="123" t="s">
        <v>85</v>
      </c>
      <c r="E48" s="145"/>
      <c r="F48" s="146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42">
        <v>46067.0</v>
      </c>
      <c r="B49" s="143" t="s">
        <v>132</v>
      </c>
      <c r="C49" s="144">
        <v>-2394.47</v>
      </c>
      <c r="D49" s="123" t="s">
        <v>119</v>
      </c>
      <c r="E49" s="145"/>
      <c r="F49" s="146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47">
        <v>46067.0</v>
      </c>
      <c r="B50" s="148" t="s">
        <v>137</v>
      </c>
      <c r="C50" s="149">
        <v>171.31</v>
      </c>
      <c r="D50" s="123" t="s">
        <v>115</v>
      </c>
      <c r="E50" s="145"/>
      <c r="F50" s="146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47">
        <v>46067.0</v>
      </c>
      <c r="B51" s="148" t="s">
        <v>191</v>
      </c>
      <c r="C51" s="149">
        <v>13.56</v>
      </c>
      <c r="D51" s="123" t="s">
        <v>183</v>
      </c>
      <c r="E51" s="145"/>
      <c r="F51" s="146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</row>
    <row r="52">
      <c r="A52" s="147">
        <v>46068.0</v>
      </c>
      <c r="B52" s="148" t="s">
        <v>192</v>
      </c>
      <c r="C52" s="149">
        <v>52.0</v>
      </c>
      <c r="D52" s="123" t="s">
        <v>88</v>
      </c>
      <c r="E52" s="145"/>
      <c r="F52" s="146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</row>
    <row r="53">
      <c r="A53" s="150">
        <v>46068.0</v>
      </c>
      <c r="B53" s="115" t="s">
        <v>193</v>
      </c>
      <c r="C53" s="151">
        <v>350.3</v>
      </c>
      <c r="D53" s="123" t="s">
        <v>83</v>
      </c>
      <c r="E53" s="84"/>
      <c r="F53" s="152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</row>
    <row r="54">
      <c r="A54" s="150">
        <v>46068.0</v>
      </c>
      <c r="B54" s="115" t="s">
        <v>194</v>
      </c>
      <c r="C54" s="151">
        <v>16.38</v>
      </c>
      <c r="D54" s="123" t="s">
        <v>109</v>
      </c>
      <c r="E54" s="84"/>
      <c r="F54" s="152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</row>
    <row r="55">
      <c r="A55" s="147">
        <v>46069.0</v>
      </c>
      <c r="B55" s="148" t="s">
        <v>195</v>
      </c>
      <c r="C55" s="149">
        <v>50.44</v>
      </c>
      <c r="D55" s="123" t="s">
        <v>94</v>
      </c>
      <c r="E55" s="145"/>
      <c r="F55" s="146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</row>
    <row r="56">
      <c r="A56" s="147">
        <v>46069.0</v>
      </c>
      <c r="B56" s="148" t="s">
        <v>196</v>
      </c>
      <c r="C56" s="149">
        <v>14.91</v>
      </c>
      <c r="D56" s="123" t="s">
        <v>85</v>
      </c>
      <c r="E56" s="145"/>
      <c r="F56" s="146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</row>
    <row r="57">
      <c r="A57" s="147">
        <v>46070.0</v>
      </c>
      <c r="B57" s="148" t="s">
        <v>104</v>
      </c>
      <c r="C57" s="149">
        <v>32.19</v>
      </c>
      <c r="D57" s="123" t="s">
        <v>103</v>
      </c>
      <c r="E57" s="145"/>
      <c r="F57" s="146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</row>
    <row r="58">
      <c r="A58" s="147">
        <v>46070.0</v>
      </c>
      <c r="B58" s="148" t="s">
        <v>144</v>
      </c>
      <c r="C58" s="149">
        <v>35.99</v>
      </c>
      <c r="D58" s="123" t="s">
        <v>109</v>
      </c>
      <c r="E58" s="145"/>
      <c r="F58" s="146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</row>
    <row r="59">
      <c r="A59" s="147">
        <v>46070.0</v>
      </c>
      <c r="B59" s="148" t="s">
        <v>197</v>
      </c>
      <c r="C59" s="149">
        <v>20.22</v>
      </c>
      <c r="D59" s="123" t="s">
        <v>122</v>
      </c>
      <c r="E59" s="145"/>
      <c r="F59" s="146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</row>
    <row r="60">
      <c r="A60" s="147">
        <v>46070.0</v>
      </c>
      <c r="B60" s="148" t="s">
        <v>198</v>
      </c>
      <c r="C60" s="149">
        <v>15.52</v>
      </c>
      <c r="D60" s="123" t="s">
        <v>109</v>
      </c>
      <c r="E60" s="145"/>
      <c r="F60" s="146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</row>
    <row r="61">
      <c r="A61" s="150">
        <v>46071.0</v>
      </c>
      <c r="B61" s="153" t="s">
        <v>106</v>
      </c>
      <c r="C61" s="151">
        <v>14.68</v>
      </c>
      <c r="D61" s="123" t="s">
        <v>90</v>
      </c>
      <c r="E61" s="84"/>
      <c r="F61" s="152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</row>
    <row r="62">
      <c r="A62" s="150">
        <v>46071.0</v>
      </c>
      <c r="B62" s="115" t="s">
        <v>199</v>
      </c>
      <c r="C62" s="151">
        <v>45.28</v>
      </c>
      <c r="D62" s="123" t="s">
        <v>85</v>
      </c>
      <c r="E62" s="84"/>
      <c r="F62" s="152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</row>
    <row r="63">
      <c r="A63" s="154">
        <v>46072.0</v>
      </c>
      <c r="B63" s="155" t="s">
        <v>200</v>
      </c>
      <c r="C63" s="156">
        <v>69.16</v>
      </c>
      <c r="D63" s="123" t="s">
        <v>85</v>
      </c>
      <c r="E63" s="145"/>
      <c r="F63" s="146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</row>
    <row r="64">
      <c r="A64" s="147">
        <v>46072.0</v>
      </c>
      <c r="B64" s="148" t="s">
        <v>104</v>
      </c>
      <c r="C64" s="149">
        <v>32.19</v>
      </c>
      <c r="D64" s="123" t="s">
        <v>103</v>
      </c>
      <c r="E64" s="145"/>
      <c r="F64" s="146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</row>
    <row r="65">
      <c r="A65" s="150">
        <v>46072.0</v>
      </c>
      <c r="B65" s="115" t="s">
        <v>143</v>
      </c>
      <c r="C65" s="151">
        <v>45.2</v>
      </c>
      <c r="D65" s="123" t="s">
        <v>124</v>
      </c>
      <c r="E65" s="84"/>
      <c r="F65" s="152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</row>
    <row r="66">
      <c r="A66" s="157">
        <v>46081.0</v>
      </c>
      <c r="B66" s="158" t="s">
        <v>201</v>
      </c>
      <c r="C66" s="159">
        <v>26.56</v>
      </c>
      <c r="D66" s="123" t="s">
        <v>109</v>
      </c>
      <c r="E66" s="61"/>
      <c r="F66" s="119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39">
        <v>46081.0</v>
      </c>
      <c r="B67" s="140" t="s">
        <v>202</v>
      </c>
      <c r="C67" s="141">
        <v>151.61</v>
      </c>
      <c r="D67" s="123" t="s">
        <v>178</v>
      </c>
      <c r="E67" s="61"/>
      <c r="F67" s="119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39">
        <v>46081.0</v>
      </c>
      <c r="B68" s="140" t="s">
        <v>202</v>
      </c>
      <c r="C68" s="141">
        <v>169.01</v>
      </c>
      <c r="D68" s="123" t="s">
        <v>178</v>
      </c>
      <c r="E68" s="61"/>
      <c r="F68" s="119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60">
        <v>46080.0</v>
      </c>
      <c r="B69" s="161" t="s">
        <v>170</v>
      </c>
      <c r="C69" s="162">
        <v>-46.23</v>
      </c>
      <c r="D69" s="123" t="s">
        <v>119</v>
      </c>
      <c r="E69" s="61"/>
      <c r="F69" s="119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39">
        <v>46079.0</v>
      </c>
      <c r="B70" s="140" t="s">
        <v>104</v>
      </c>
      <c r="C70" s="141">
        <v>32.19</v>
      </c>
      <c r="D70" s="123" t="s">
        <v>103</v>
      </c>
      <c r="E70" s="61"/>
      <c r="F70" s="119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39">
        <v>46079.0</v>
      </c>
      <c r="B71" s="140" t="s">
        <v>203</v>
      </c>
      <c r="C71" s="141">
        <v>14.23</v>
      </c>
      <c r="D71" s="123" t="s">
        <v>77</v>
      </c>
      <c r="E71" s="61"/>
      <c r="F71" s="119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39">
        <v>46078.0</v>
      </c>
      <c r="B72" s="140" t="s">
        <v>163</v>
      </c>
      <c r="C72" s="141">
        <v>7.09</v>
      </c>
      <c r="D72" s="123" t="s">
        <v>88</v>
      </c>
      <c r="E72" s="61"/>
      <c r="F72" s="119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39">
        <v>46077.0</v>
      </c>
      <c r="B73" s="140" t="s">
        <v>104</v>
      </c>
      <c r="C73" s="141">
        <v>32.19</v>
      </c>
      <c r="D73" s="123" t="s">
        <v>103</v>
      </c>
      <c r="E73" s="61"/>
      <c r="F73" s="119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39">
        <v>46077.0</v>
      </c>
      <c r="B74" s="140" t="s">
        <v>201</v>
      </c>
      <c r="C74" s="141">
        <v>44.43</v>
      </c>
      <c r="D74" s="123" t="s">
        <v>109</v>
      </c>
      <c r="E74" s="61"/>
      <c r="F74" s="119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39">
        <v>46077.0</v>
      </c>
      <c r="B75" s="140" t="s">
        <v>159</v>
      </c>
      <c r="C75" s="141">
        <v>3.0</v>
      </c>
      <c r="D75" s="123" t="s">
        <v>109</v>
      </c>
      <c r="E75" s="61"/>
      <c r="F75" s="119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39">
        <v>46077.0</v>
      </c>
      <c r="B76" s="140" t="s">
        <v>159</v>
      </c>
      <c r="C76" s="141">
        <v>170.0</v>
      </c>
      <c r="D76" s="123" t="s">
        <v>109</v>
      </c>
      <c r="E76" s="61"/>
      <c r="F76" s="119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39">
        <v>46077.0</v>
      </c>
      <c r="B77" s="140" t="s">
        <v>144</v>
      </c>
      <c r="C77" s="141">
        <v>35.99</v>
      </c>
      <c r="D77" s="123" t="s">
        <v>109</v>
      </c>
      <c r="E77" s="61"/>
      <c r="F77" s="119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39">
        <v>46077.0</v>
      </c>
      <c r="B78" s="140" t="s">
        <v>198</v>
      </c>
      <c r="C78" s="141">
        <v>15.95</v>
      </c>
      <c r="D78" s="123" t="s">
        <v>109</v>
      </c>
      <c r="E78" s="61"/>
      <c r="F78" s="119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63">
        <v>46081.0</v>
      </c>
      <c r="B79" s="164" t="s">
        <v>204</v>
      </c>
      <c r="C79" s="165">
        <v>52.92</v>
      </c>
      <c r="D79" s="123" t="s">
        <v>94</v>
      </c>
      <c r="E79" s="113"/>
      <c r="F79" s="8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50">
        <v>46080.0</v>
      </c>
      <c r="B80" s="115" t="s">
        <v>118</v>
      </c>
      <c r="C80" s="151">
        <v>39.51</v>
      </c>
      <c r="D80" s="123" t="s">
        <v>109</v>
      </c>
      <c r="E80" s="84"/>
      <c r="F80" s="82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50">
        <v>46079.0</v>
      </c>
      <c r="B81" s="115" t="s">
        <v>78</v>
      </c>
      <c r="C81" s="151">
        <v>10.16</v>
      </c>
      <c r="D81" s="123" t="s">
        <v>79</v>
      </c>
      <c r="E81" s="84"/>
      <c r="F81" s="82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50">
        <v>46079.0</v>
      </c>
      <c r="B82" s="115" t="s">
        <v>162</v>
      </c>
      <c r="C82" s="166">
        <v>-2777.22</v>
      </c>
      <c r="D82" s="123" t="s">
        <v>119</v>
      </c>
      <c r="E82" s="84"/>
      <c r="F82" s="82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50">
        <v>46079.0</v>
      </c>
      <c r="B83" s="115" t="s">
        <v>205</v>
      </c>
      <c r="C83" s="151">
        <v>38.15</v>
      </c>
      <c r="D83" s="123" t="s">
        <v>88</v>
      </c>
      <c r="E83" s="84"/>
      <c r="F83" s="82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50">
        <v>46077.0</v>
      </c>
      <c r="B84" s="115" t="s">
        <v>113</v>
      </c>
      <c r="C84" s="151">
        <v>17.41</v>
      </c>
      <c r="D84" s="123" t="s">
        <v>171</v>
      </c>
      <c r="E84" s="84"/>
      <c r="F84" s="82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50">
        <v>46076.0</v>
      </c>
      <c r="B85" s="153" t="s">
        <v>106</v>
      </c>
      <c r="C85" s="151">
        <v>10.71</v>
      </c>
      <c r="D85" s="123" t="s">
        <v>90</v>
      </c>
      <c r="E85" s="84"/>
      <c r="F85" s="82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50">
        <v>46074.0</v>
      </c>
      <c r="B86" s="115" t="s">
        <v>78</v>
      </c>
      <c r="C86" s="151">
        <v>3.39</v>
      </c>
      <c r="D86" s="123" t="s">
        <v>79</v>
      </c>
      <c r="E86" s="84"/>
      <c r="F86" s="82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50">
        <v>46073.0</v>
      </c>
      <c r="B87" s="115" t="s">
        <v>206</v>
      </c>
      <c r="C87" s="151">
        <v>142.1</v>
      </c>
      <c r="D87" s="123" t="s">
        <v>175</v>
      </c>
      <c r="E87" s="61"/>
      <c r="F87" s="119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67"/>
      <c r="B88" s="61"/>
      <c r="C88" s="111"/>
      <c r="D88" s="61"/>
      <c r="E88" s="61"/>
      <c r="F88" s="119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119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119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119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119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119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119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119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119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119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119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119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119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119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119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119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119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119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119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119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119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119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61"/>
      <c r="B110" s="61"/>
      <c r="C110" s="70"/>
      <c r="D110" s="61"/>
      <c r="E110" s="61"/>
      <c r="F110" s="119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1"/>
      <c r="B111" s="61"/>
      <c r="C111" s="70"/>
      <c r="D111" s="61"/>
      <c r="E111" s="61"/>
      <c r="F111" s="119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1"/>
      <c r="B112" s="61"/>
      <c r="C112" s="70"/>
      <c r="D112" s="61"/>
      <c r="E112" s="61"/>
      <c r="F112" s="119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1"/>
      <c r="B113" s="61"/>
      <c r="C113" s="70"/>
      <c r="D113" s="61"/>
      <c r="E113" s="61"/>
      <c r="F113" s="119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1"/>
      <c r="B114" s="61"/>
      <c r="C114" s="70"/>
      <c r="D114" s="61"/>
      <c r="E114" s="61"/>
      <c r="F114" s="119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1"/>
      <c r="B115" s="61"/>
      <c r="C115" s="70"/>
      <c r="D115" s="61"/>
      <c r="E115" s="61"/>
      <c r="F115" s="119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1"/>
      <c r="B116" s="61"/>
      <c r="C116" s="70"/>
      <c r="D116" s="61"/>
      <c r="E116" s="61"/>
      <c r="F116" s="119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1"/>
      <c r="B117" s="61"/>
      <c r="C117" s="70"/>
      <c r="D117" s="61"/>
      <c r="E117" s="61"/>
      <c r="F117" s="119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1"/>
      <c r="B118" s="61"/>
      <c r="C118" s="70"/>
      <c r="D118" s="61"/>
      <c r="E118" s="61"/>
      <c r="F118" s="119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70"/>
      <c r="D119" s="61"/>
      <c r="E119" s="61"/>
      <c r="F119" s="119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70"/>
      <c r="D120" s="61"/>
      <c r="E120" s="61"/>
      <c r="F120" s="119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1"/>
      <c r="B121" s="61"/>
      <c r="C121" s="70"/>
      <c r="D121" s="61"/>
      <c r="E121" s="61"/>
      <c r="F121" s="119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1"/>
      <c r="B122" s="61"/>
      <c r="C122" s="70"/>
      <c r="D122" s="61"/>
      <c r="E122" s="61"/>
      <c r="F122" s="119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119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119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119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119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119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119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119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119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119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119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119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119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119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119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119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119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119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119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119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119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119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119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119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119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119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119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119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119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119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119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119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119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119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119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119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119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119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119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119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119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119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119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119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119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119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119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119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119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119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119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119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119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119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119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119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119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119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119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119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119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119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119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119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119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119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119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119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119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119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119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119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119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119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119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119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119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119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119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119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119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119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119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119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119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119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119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119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119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119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119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119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119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119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119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119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119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119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119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119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119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119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119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119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119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119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119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119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119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119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119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119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119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119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119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119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119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119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119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119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119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119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119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119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119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119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119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119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119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119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119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119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119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119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119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119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119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119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119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119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119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119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119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119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119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119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119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119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119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119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119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119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119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119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119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119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119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119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119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119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119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119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119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119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119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119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119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119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119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119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119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119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119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119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119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119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119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119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119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119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119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119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119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119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119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119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119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119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119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119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119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119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119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119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119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119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119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119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119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119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119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119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119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119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119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119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119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119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119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119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119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119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119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119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119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119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119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119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119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119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119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119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119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119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119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119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119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119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119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119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119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119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119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119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119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119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119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119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119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119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119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119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119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119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119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119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119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119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119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119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119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119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119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119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119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119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119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119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119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119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119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119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119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119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119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119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119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119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119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119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119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119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119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119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119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119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119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119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119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119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119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119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119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119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119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119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119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119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119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119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119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119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119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119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119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119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119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119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119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119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119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119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119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119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119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119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119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119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119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119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119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119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119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119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119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119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119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119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119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119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119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119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119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119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119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119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119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119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119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119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119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119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119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119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119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119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119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119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119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119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119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119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119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119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119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119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119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119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119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119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119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119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119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119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119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119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119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119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119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119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119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119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119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119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119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119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119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119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119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119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119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119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119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119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119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119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119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119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119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119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119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119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119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119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119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119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119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119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119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119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119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119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119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119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119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119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119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119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119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119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119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119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119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119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119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119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119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119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119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119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119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119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119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119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119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119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119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119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119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119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119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119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119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119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119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119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119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119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119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119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119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119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119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119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119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119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119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119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119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119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119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119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119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119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119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119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119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119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119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119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119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119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119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119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119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119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119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119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119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119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119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119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119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119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119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119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119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119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119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119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119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119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119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119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119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119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119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119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119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119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119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119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119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119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119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119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119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119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119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119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119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119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119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119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119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119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119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119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119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119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119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119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119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119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119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119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119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119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119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119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119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119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119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119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119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119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119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119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119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119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119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119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119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119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119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119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119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119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119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119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119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119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119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119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119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119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119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119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119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119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119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119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119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119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119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119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119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119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119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119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119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119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119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119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119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119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119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119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119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119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119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119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119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119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119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119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119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119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119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119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119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119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119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119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119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119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119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119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119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119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119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119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119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119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119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119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119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119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119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119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119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119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119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119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119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119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119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119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119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119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119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119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119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119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119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119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119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119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119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119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119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119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119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119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119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119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119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119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119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119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119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119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119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119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119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119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119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119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119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119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119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119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119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119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119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119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119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119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119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119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119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119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119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119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119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119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119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119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119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119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119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119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119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119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119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119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119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119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119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119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119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119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119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119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119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119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119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119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119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119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119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119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119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119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119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119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119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119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119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119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119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119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119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119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119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119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119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119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119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119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119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119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119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119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119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119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119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119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119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119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119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119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119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119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119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119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119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119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119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119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119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119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119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119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119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119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119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119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119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119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119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119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119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119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119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119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119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119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119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119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119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119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119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119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119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119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119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119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119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119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119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119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119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119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119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119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119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119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119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119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119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119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119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119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119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119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119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119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119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119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119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119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119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119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119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119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119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119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119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119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119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119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119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119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119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119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119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119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119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119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119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119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119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119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119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119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119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119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119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119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119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119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119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119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119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119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119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119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119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119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119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119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119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119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119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119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119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119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119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119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119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119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119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119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119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119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119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119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119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119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119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119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119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119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119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119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F948" s="168"/>
    </row>
    <row r="949">
      <c r="F949" s="168"/>
    </row>
    <row r="950">
      <c r="F950" s="168"/>
    </row>
    <row r="951">
      <c r="F951" s="168"/>
    </row>
    <row r="952">
      <c r="F952" s="168"/>
    </row>
    <row r="953">
      <c r="F953" s="168"/>
    </row>
    <row r="954">
      <c r="F954" s="168"/>
    </row>
    <row r="955">
      <c r="F955" s="168"/>
    </row>
    <row r="956">
      <c r="F956" s="168"/>
    </row>
    <row r="957">
      <c r="F957" s="168"/>
    </row>
    <row r="958">
      <c r="F958" s="168"/>
    </row>
    <row r="959">
      <c r="F959" s="168"/>
    </row>
    <row r="960">
      <c r="F960" s="168"/>
    </row>
    <row r="961">
      <c r="F961" s="168"/>
    </row>
    <row r="962">
      <c r="F962" s="168"/>
    </row>
    <row r="963">
      <c r="F963" s="168"/>
    </row>
    <row r="964">
      <c r="F964" s="168"/>
    </row>
    <row r="965">
      <c r="F965" s="168"/>
    </row>
    <row r="966">
      <c r="F966" s="168"/>
    </row>
    <row r="967">
      <c r="F967" s="168"/>
    </row>
    <row r="968">
      <c r="F968" s="168"/>
    </row>
    <row r="969">
      <c r="F969" s="168"/>
    </row>
    <row r="970">
      <c r="F970" s="168"/>
    </row>
    <row r="971">
      <c r="F971" s="168"/>
    </row>
    <row r="972">
      <c r="F972" s="168"/>
    </row>
    <row r="973">
      <c r="F973" s="168"/>
    </row>
    <row r="974">
      <c r="F974" s="168"/>
    </row>
    <row r="975">
      <c r="F975" s="168"/>
    </row>
    <row r="976">
      <c r="F976" s="168"/>
    </row>
    <row r="977">
      <c r="F977" s="168"/>
    </row>
    <row r="978">
      <c r="F978" s="168"/>
    </row>
    <row r="979">
      <c r="F979" s="168"/>
    </row>
    <row r="980">
      <c r="F980" s="168"/>
    </row>
    <row r="981">
      <c r="F981" s="168"/>
    </row>
    <row r="982">
      <c r="F982" s="168"/>
    </row>
    <row r="983">
      <c r="F983" s="168"/>
    </row>
    <row r="984">
      <c r="F984" s="168"/>
    </row>
    <row r="985">
      <c r="F985" s="168"/>
    </row>
    <row r="986">
      <c r="F986" s="168"/>
    </row>
    <row r="987">
      <c r="F987" s="168"/>
    </row>
    <row r="988">
      <c r="F988" s="168"/>
    </row>
  </sheetData>
  <autoFilter ref="$A$1:$Z$88">
    <sortState ref="A1:Z88">
      <sortCondition ref="A1:A88"/>
    </sortState>
  </autoFilter>
  <dataValidations>
    <dataValidation type="list" allowBlank="1" sqref="D2:D87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SUB,NETFLIX,CAR,INSURANCE"</formula1>
    </dataValidation>
  </dataValidations>
  <hyperlinks>
    <hyperlink r:id="rId2" ref="B17"/>
    <hyperlink r:id="rId3" ref="B19"/>
    <hyperlink r:id="rId4" ref="B61"/>
    <hyperlink r:id="rId5" ref="B8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4.78"/>
  </cols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69">
        <v>46082.0</v>
      </c>
      <c r="B2" s="170" t="s">
        <v>78</v>
      </c>
      <c r="C2" s="171">
        <v>6.77</v>
      </c>
      <c r="D2" s="123" t="s">
        <v>79</v>
      </c>
      <c r="E2" s="172"/>
      <c r="F2" s="172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>
      <c r="A3" s="169">
        <v>46082.0</v>
      </c>
      <c r="B3" s="170" t="s">
        <v>80</v>
      </c>
      <c r="C3" s="171">
        <v>79.1</v>
      </c>
      <c r="D3" s="123" t="s">
        <v>81</v>
      </c>
      <c r="E3" s="84"/>
      <c r="F3" s="82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>
      <c r="A4" s="147">
        <v>46082.0</v>
      </c>
      <c r="B4" s="148" t="s">
        <v>168</v>
      </c>
      <c r="C4" s="149">
        <v>76.5</v>
      </c>
      <c r="D4" s="123" t="s">
        <v>77</v>
      </c>
      <c r="E4" s="145"/>
      <c r="F4" s="145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47">
        <v>46083.0</v>
      </c>
      <c r="B5" s="148" t="s">
        <v>201</v>
      </c>
      <c r="C5" s="149">
        <v>126.88</v>
      </c>
      <c r="D5" s="123" t="s">
        <v>109</v>
      </c>
      <c r="E5" s="145"/>
      <c r="F5" s="145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69">
        <v>46084.0</v>
      </c>
      <c r="B6" s="170" t="s">
        <v>95</v>
      </c>
      <c r="C6" s="173">
        <v>3.38</v>
      </c>
      <c r="D6" s="123" t="s">
        <v>79</v>
      </c>
      <c r="E6" s="82"/>
      <c r="F6" s="82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69">
        <v>46084.0</v>
      </c>
      <c r="B7" s="170" t="s">
        <v>113</v>
      </c>
      <c r="C7" s="173">
        <v>17.41</v>
      </c>
      <c r="D7" s="123" t="s">
        <v>171</v>
      </c>
      <c r="E7" s="82"/>
      <c r="F7" s="82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47">
        <v>46084.0</v>
      </c>
      <c r="B8" s="148" t="s">
        <v>144</v>
      </c>
      <c r="C8" s="173">
        <v>35.99</v>
      </c>
      <c r="D8" s="123" t="s">
        <v>109</v>
      </c>
      <c r="E8" s="145"/>
      <c r="F8" s="14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74">
        <v>46085.0</v>
      </c>
      <c r="B9" s="175" t="s">
        <v>207</v>
      </c>
      <c r="C9" s="173">
        <v>11.29</v>
      </c>
      <c r="D9" s="123" t="s">
        <v>88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176">
        <v>46085.0</v>
      </c>
      <c r="B10" s="177" t="s">
        <v>208</v>
      </c>
      <c r="C10" s="173">
        <v>48.91</v>
      </c>
      <c r="D10" s="123" t="s">
        <v>85</v>
      </c>
      <c r="E10" s="178"/>
      <c r="F10" s="178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76">
        <v>46085.0</v>
      </c>
      <c r="B11" s="177" t="s">
        <v>209</v>
      </c>
      <c r="C11" s="173">
        <v>90.0</v>
      </c>
      <c r="D11" s="123" t="s">
        <v>102</v>
      </c>
      <c r="E11" s="172"/>
      <c r="F11" s="172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39">
        <v>46085.0</v>
      </c>
      <c r="B12" s="140" t="s">
        <v>186</v>
      </c>
      <c r="C12" s="173">
        <v>41.31</v>
      </c>
      <c r="D12" s="123" t="s">
        <v>109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39">
        <v>46085.0</v>
      </c>
      <c r="B13" s="140" t="s">
        <v>210</v>
      </c>
      <c r="C13" s="173">
        <v>9.03</v>
      </c>
      <c r="D13" s="123" t="s">
        <v>111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39">
        <v>46086.0</v>
      </c>
      <c r="B14" s="140" t="s">
        <v>104</v>
      </c>
      <c r="C14" s="173">
        <v>32.19</v>
      </c>
      <c r="D14" s="123" t="s">
        <v>103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31">
        <v>46086.0</v>
      </c>
      <c r="B15" s="132" t="s">
        <v>105</v>
      </c>
      <c r="C15" s="133">
        <v>5.41</v>
      </c>
      <c r="D15" s="123" t="s">
        <v>83</v>
      </c>
      <c r="E15" s="128"/>
      <c r="F15" s="172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31">
        <v>46086.0</v>
      </c>
      <c r="B16" s="132" t="s">
        <v>211</v>
      </c>
      <c r="C16" s="133">
        <v>33.85</v>
      </c>
      <c r="D16" s="123" t="s">
        <v>109</v>
      </c>
      <c r="E16" s="128"/>
      <c r="F16" s="172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31">
        <v>46086.0</v>
      </c>
      <c r="B17" s="132" t="s">
        <v>212</v>
      </c>
      <c r="C17" s="133">
        <v>6.6</v>
      </c>
      <c r="D17" s="123" t="s">
        <v>88</v>
      </c>
      <c r="E17" s="128"/>
      <c r="F17" s="172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31">
        <v>46086.0</v>
      </c>
      <c r="B18" s="134" t="s">
        <v>101</v>
      </c>
      <c r="C18" s="133">
        <v>15.87</v>
      </c>
      <c r="D18" s="123" t="s">
        <v>102</v>
      </c>
      <c r="E18" s="128"/>
      <c r="F18" s="172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31">
        <v>46086.0</v>
      </c>
      <c r="B19" s="132" t="s">
        <v>123</v>
      </c>
      <c r="C19" s="133">
        <v>22.42</v>
      </c>
      <c r="D19" s="123" t="s">
        <v>109</v>
      </c>
      <c r="E19" s="128"/>
      <c r="F19" s="172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A20" s="131">
        <v>46087.0</v>
      </c>
      <c r="B20" s="134" t="s">
        <v>106</v>
      </c>
      <c r="C20" s="133">
        <v>10.16</v>
      </c>
      <c r="D20" s="123" t="s">
        <v>90</v>
      </c>
      <c r="E20" s="128"/>
      <c r="F20" s="172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31">
        <v>46087.0</v>
      </c>
      <c r="B21" s="132" t="s">
        <v>116</v>
      </c>
      <c r="C21" s="133">
        <v>75.59</v>
      </c>
      <c r="D21" s="123" t="s">
        <v>93</v>
      </c>
      <c r="E21" s="128"/>
      <c r="F21" s="172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31">
        <v>46087.0</v>
      </c>
      <c r="B22" s="132" t="s">
        <v>118</v>
      </c>
      <c r="C22" s="133">
        <v>45.8</v>
      </c>
      <c r="D22" s="123" t="s">
        <v>109</v>
      </c>
      <c r="E22" s="128"/>
      <c r="F22" s="172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31">
        <v>46087.0</v>
      </c>
      <c r="B23" s="132" t="s">
        <v>213</v>
      </c>
      <c r="C23" s="133">
        <v>17.38</v>
      </c>
      <c r="D23" s="123" t="s">
        <v>85</v>
      </c>
      <c r="E23" s="128"/>
      <c r="F23" s="172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39">
        <v>46088.0</v>
      </c>
      <c r="B24" s="140" t="s">
        <v>214</v>
      </c>
      <c r="C24" s="173">
        <v>6.77</v>
      </c>
      <c r="D24" s="123" t="s">
        <v>90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60">
        <v>46088.0</v>
      </c>
      <c r="B25" s="161" t="s">
        <v>170</v>
      </c>
      <c r="C25" s="173">
        <v>-14.96</v>
      </c>
      <c r="D25" s="123" t="s">
        <v>119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50">
        <v>46088.0</v>
      </c>
      <c r="B26" s="115" t="s">
        <v>215</v>
      </c>
      <c r="C26" s="151">
        <v>166.89</v>
      </c>
      <c r="D26" s="123" t="s">
        <v>125</v>
      </c>
      <c r="E26" s="84"/>
      <c r="F26" s="82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50">
        <v>46088.0</v>
      </c>
      <c r="B27" s="115" t="s">
        <v>78</v>
      </c>
      <c r="C27" s="151">
        <v>13.55</v>
      </c>
      <c r="D27" s="123" t="s">
        <v>79</v>
      </c>
      <c r="E27" s="84"/>
      <c r="F27" s="82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50">
        <v>46089.0</v>
      </c>
      <c r="B28" s="115" t="s">
        <v>120</v>
      </c>
      <c r="C28" s="151">
        <v>50.0</v>
      </c>
      <c r="D28" s="123" t="s">
        <v>96</v>
      </c>
      <c r="E28" s="84"/>
      <c r="F28" s="82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79">
        <v>46090.0</v>
      </c>
      <c r="B29" s="148" t="s">
        <v>192</v>
      </c>
      <c r="C29" s="171">
        <v>57.0</v>
      </c>
      <c r="D29" s="180" t="s">
        <v>88</v>
      </c>
      <c r="E29" s="145"/>
      <c r="F29" s="145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79">
        <v>46090.0</v>
      </c>
      <c r="B30" s="148" t="s">
        <v>216</v>
      </c>
      <c r="C30" s="171">
        <v>19.2</v>
      </c>
      <c r="D30" s="180" t="s">
        <v>171</v>
      </c>
      <c r="E30" s="145"/>
      <c r="F30" s="145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47">
        <v>46090.0</v>
      </c>
      <c r="B31" s="148" t="s">
        <v>217</v>
      </c>
      <c r="C31" s="171">
        <v>145.21</v>
      </c>
      <c r="D31" s="180" t="s">
        <v>175</v>
      </c>
      <c r="E31" s="145"/>
      <c r="F31" s="145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50">
        <v>46090.0</v>
      </c>
      <c r="B32" s="115" t="s">
        <v>218</v>
      </c>
      <c r="C32" s="151">
        <v>14.81</v>
      </c>
      <c r="D32" s="180" t="s">
        <v>171</v>
      </c>
      <c r="E32" s="84"/>
      <c r="F32" s="82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50">
        <v>46090.0</v>
      </c>
      <c r="B33" s="115" t="s">
        <v>219</v>
      </c>
      <c r="C33" s="151">
        <v>58.22</v>
      </c>
      <c r="D33" s="180" t="s">
        <v>88</v>
      </c>
      <c r="E33" s="84"/>
      <c r="F33" s="82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50">
        <v>46090.0</v>
      </c>
      <c r="B34" s="115" t="s">
        <v>78</v>
      </c>
      <c r="C34" s="151">
        <v>1.12</v>
      </c>
      <c r="D34" s="180" t="s">
        <v>79</v>
      </c>
      <c r="E34" s="84"/>
      <c r="F34" s="82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81">
        <v>46091.0</v>
      </c>
      <c r="B35" s="148" t="s">
        <v>214</v>
      </c>
      <c r="C35" s="171">
        <v>4.51</v>
      </c>
      <c r="D35" s="180" t="s">
        <v>90</v>
      </c>
      <c r="E35" s="145"/>
      <c r="F35" s="145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81">
        <v>46091.0</v>
      </c>
      <c r="B36" s="148" t="s">
        <v>104</v>
      </c>
      <c r="C36" s="171">
        <v>32.19</v>
      </c>
      <c r="D36" s="180" t="s">
        <v>103</v>
      </c>
      <c r="E36" s="145"/>
      <c r="F36" s="145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81">
        <v>46091.0</v>
      </c>
      <c r="B37" s="148" t="s">
        <v>127</v>
      </c>
      <c r="C37" s="171">
        <v>12.99</v>
      </c>
      <c r="D37" s="180" t="s">
        <v>102</v>
      </c>
      <c r="E37" s="145"/>
      <c r="F37" s="145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47">
        <v>46091.0</v>
      </c>
      <c r="B38" s="148" t="s">
        <v>144</v>
      </c>
      <c r="C38" s="171">
        <v>35.99</v>
      </c>
      <c r="D38" s="180" t="s">
        <v>109</v>
      </c>
      <c r="E38" s="145"/>
      <c r="F38" s="145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54">
        <v>46093.0</v>
      </c>
      <c r="B39" s="155" t="s">
        <v>104</v>
      </c>
      <c r="C39" s="171">
        <v>32.19</v>
      </c>
      <c r="D39" s="180" t="s">
        <v>103</v>
      </c>
      <c r="E39" s="145"/>
      <c r="F39" s="145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42">
        <v>46093.0</v>
      </c>
      <c r="B40" s="143" t="s">
        <v>132</v>
      </c>
      <c r="C40" s="171">
        <v>-2066.29</v>
      </c>
      <c r="D40" s="180" t="s">
        <v>119</v>
      </c>
      <c r="E40" s="145"/>
      <c r="F40" s="145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47">
        <v>46093.0</v>
      </c>
      <c r="B41" s="148" t="s">
        <v>198</v>
      </c>
      <c r="C41" s="171">
        <v>17.54</v>
      </c>
      <c r="D41" s="180" t="s">
        <v>109</v>
      </c>
      <c r="E41" s="145"/>
      <c r="F41" s="145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50">
        <v>46093.0</v>
      </c>
      <c r="B42" s="115" t="s">
        <v>220</v>
      </c>
      <c r="C42" s="151">
        <v>31.64</v>
      </c>
      <c r="D42" s="180" t="s">
        <v>102</v>
      </c>
      <c r="E42" s="82"/>
      <c r="F42" s="82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50">
        <v>46093.0</v>
      </c>
      <c r="B43" s="115" t="s">
        <v>221</v>
      </c>
      <c r="C43" s="151">
        <v>49.72</v>
      </c>
      <c r="D43" s="180" t="s">
        <v>93</v>
      </c>
      <c r="E43" s="82"/>
      <c r="F43" s="82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50">
        <v>46093.0</v>
      </c>
      <c r="B44" s="115" t="s">
        <v>222</v>
      </c>
      <c r="C44" s="151">
        <v>79.95</v>
      </c>
      <c r="D44" s="180" t="s">
        <v>85</v>
      </c>
      <c r="E44" s="82"/>
      <c r="F44" s="82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63">
        <v>46094.0</v>
      </c>
      <c r="B45" s="164" t="s">
        <v>130</v>
      </c>
      <c r="C45" s="165">
        <v>11.29</v>
      </c>
      <c r="D45" s="180" t="s">
        <v>79</v>
      </c>
      <c r="E45" s="178"/>
      <c r="F45" s="178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20">
        <v>46094.0</v>
      </c>
      <c r="B46" s="121" t="s">
        <v>201</v>
      </c>
      <c r="C46" s="122">
        <v>61.62</v>
      </c>
      <c r="D46" s="180" t="s">
        <v>109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>
      <c r="A47" s="120">
        <v>46095.0</v>
      </c>
      <c r="B47" s="121" t="s">
        <v>223</v>
      </c>
      <c r="C47" s="122">
        <v>111.52</v>
      </c>
      <c r="D47" s="180" t="s">
        <v>175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>
      <c r="A48" s="120">
        <v>46095.0</v>
      </c>
      <c r="B48" s="121" t="s">
        <v>195</v>
      </c>
      <c r="C48" s="122">
        <v>47.18</v>
      </c>
      <c r="D48" s="180" t="s">
        <v>94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>
      <c r="A49" s="125">
        <v>46095.0</v>
      </c>
      <c r="B49" s="126" t="s">
        <v>113</v>
      </c>
      <c r="C49" s="127">
        <v>9.25</v>
      </c>
      <c r="D49" s="180" t="s">
        <v>171</v>
      </c>
      <c r="E49" s="128"/>
      <c r="F49" s="172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>
      <c r="A50" s="125">
        <v>46095.0</v>
      </c>
      <c r="B50" s="126" t="s">
        <v>113</v>
      </c>
      <c r="C50" s="127">
        <v>9.25</v>
      </c>
      <c r="D50" s="180" t="s">
        <v>171</v>
      </c>
      <c r="E50" s="128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>
      <c r="A51" s="125">
        <v>46096.0</v>
      </c>
      <c r="B51" s="126" t="s">
        <v>224</v>
      </c>
      <c r="C51" s="127">
        <v>17.56</v>
      </c>
      <c r="D51" s="180" t="s">
        <v>171</v>
      </c>
      <c r="E51" s="128"/>
      <c r="F51" s="172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25">
        <v>46096.0</v>
      </c>
      <c r="B52" s="126" t="s">
        <v>225</v>
      </c>
      <c r="C52" s="127">
        <v>100.4</v>
      </c>
      <c r="D52" s="180" t="s">
        <v>88</v>
      </c>
      <c r="E52" s="128"/>
      <c r="F52" s="172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25">
        <v>46097.0</v>
      </c>
      <c r="B53" s="126" t="s">
        <v>84</v>
      </c>
      <c r="C53" s="127">
        <v>56.21</v>
      </c>
      <c r="D53" s="180" t="s">
        <v>226</v>
      </c>
      <c r="E53" s="128"/>
      <c r="F53" s="172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82">
        <v>46098.0</v>
      </c>
      <c r="B54" s="121" t="s">
        <v>104</v>
      </c>
      <c r="C54" s="122">
        <v>32.19</v>
      </c>
      <c r="D54" s="180" t="s">
        <v>103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83">
        <v>46098.0</v>
      </c>
      <c r="B55" s="184" t="s">
        <v>227</v>
      </c>
      <c r="C55" s="185">
        <v>392.04</v>
      </c>
      <c r="D55" s="180" t="s">
        <v>111</v>
      </c>
      <c r="E55" s="145"/>
      <c r="F55" s="145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83">
        <v>46098.0</v>
      </c>
      <c r="B56" s="184" t="s">
        <v>228</v>
      </c>
      <c r="C56" s="185">
        <v>9.25</v>
      </c>
      <c r="D56" s="180" t="s">
        <v>171</v>
      </c>
      <c r="E56" s="145"/>
      <c r="F56" s="145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83">
        <v>46098.0</v>
      </c>
      <c r="B57" s="184" t="s">
        <v>201</v>
      </c>
      <c r="C57" s="185">
        <v>47.44</v>
      </c>
      <c r="D57" s="180" t="s">
        <v>109</v>
      </c>
      <c r="E57" s="145"/>
      <c r="F57" s="145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83">
        <v>46098.0</v>
      </c>
      <c r="B58" s="184" t="s">
        <v>144</v>
      </c>
      <c r="C58" s="185">
        <v>35.99</v>
      </c>
      <c r="D58" s="180" t="s">
        <v>109</v>
      </c>
      <c r="E58" s="145"/>
      <c r="F58" s="145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83">
        <v>46098.0</v>
      </c>
      <c r="B59" s="184" t="s">
        <v>197</v>
      </c>
      <c r="C59" s="185">
        <v>20.22</v>
      </c>
      <c r="D59" s="180" t="s">
        <v>122</v>
      </c>
      <c r="E59" s="145"/>
      <c r="F59" s="145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63">
        <v>46099.0</v>
      </c>
      <c r="B60" s="186" t="s">
        <v>229</v>
      </c>
      <c r="C60" s="165">
        <v>76.8</v>
      </c>
      <c r="D60" s="180" t="s">
        <v>85</v>
      </c>
      <c r="E60" s="81"/>
      <c r="F60" s="8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50">
        <v>46099.0</v>
      </c>
      <c r="B61" s="153" t="s">
        <v>106</v>
      </c>
      <c r="C61" s="151">
        <v>14.68</v>
      </c>
      <c r="D61" s="180" t="s">
        <v>90</v>
      </c>
      <c r="E61" s="82"/>
      <c r="F61" s="172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61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61"/>
      <c r="B113" s="61"/>
      <c r="C113" s="7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1"/>
      <c r="B114" s="61"/>
      <c r="C114" s="7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1"/>
      <c r="B115" s="61"/>
      <c r="C115" s="7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1"/>
      <c r="B116" s="61"/>
      <c r="C116" s="7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1"/>
      <c r="B117" s="61"/>
      <c r="C117" s="7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1"/>
      <c r="B118" s="61"/>
      <c r="C118" s="7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7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7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1"/>
      <c r="B121" s="61"/>
      <c r="C121" s="7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</sheetData>
  <autoFilter ref="$A$1:$Z$61">
    <sortState ref="A1:Z61">
      <sortCondition ref="A1:A61"/>
    </sortState>
  </autoFilter>
  <dataValidations>
    <dataValidation type="list" allowBlank="1" sqref="D2:D61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SUB,NETFLIX,CAR,INSURANCE"</formula1>
    </dataValidation>
  </dataValidations>
  <hyperlinks>
    <hyperlink r:id="rId1" ref="B18"/>
    <hyperlink r:id="rId2" ref="B20"/>
    <hyperlink r:id="rId3" ref="B60"/>
    <hyperlink r:id="rId4" ref="B61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7" t="s">
        <v>72</v>
      </c>
      <c r="B1" s="117" t="s">
        <v>73</v>
      </c>
      <c r="C1" s="118" t="s">
        <v>74</v>
      </c>
      <c r="D1" s="117" t="s">
        <v>75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10"/>
      <c r="B2" s="61"/>
      <c r="C2" s="111"/>
      <c r="D2" s="61" t="s">
        <v>109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10"/>
      <c r="B3" s="61"/>
      <c r="C3" s="11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10"/>
      <c r="B4" s="61"/>
      <c r="C4" s="11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>
      <c r="A5" s="110"/>
      <c r="B5" s="61"/>
      <c r="C5" s="11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>
      <c r="A6" s="110"/>
      <c r="B6" s="61"/>
      <c r="C6" s="11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>
      <c r="A7" s="110"/>
      <c r="B7" s="61"/>
      <c r="C7" s="11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>
      <c r="A8" s="110"/>
      <c r="B8" s="61"/>
      <c r="C8" s="11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>
      <c r="A9" s="110"/>
      <c r="B9" s="61"/>
      <c r="C9" s="11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>
      <c r="A10" s="110"/>
      <c r="B10" s="61"/>
      <c r="C10" s="11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>
      <c r="A11" s="110"/>
      <c r="B11" s="61"/>
      <c r="C11" s="11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>
      <c r="A12" s="110"/>
      <c r="B12" s="61"/>
      <c r="C12" s="11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>
      <c r="A13" s="110"/>
      <c r="B13" s="61"/>
      <c r="C13" s="11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>
      <c r="A14" s="110"/>
      <c r="B14" s="61"/>
      <c r="C14" s="11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>
      <c r="A15" s="110"/>
      <c r="B15" s="61"/>
      <c r="C15" s="11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>
      <c r="A16" s="110"/>
      <c r="B16" s="61"/>
      <c r="C16" s="11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>
      <c r="A17" s="110"/>
      <c r="B17" s="187"/>
      <c r="C17" s="11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>
      <c r="A18" s="110"/>
      <c r="B18" s="61"/>
      <c r="C18" s="11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>
      <c r="A19" s="110"/>
      <c r="B19" s="61"/>
      <c r="C19" s="11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110"/>
      <c r="B20" s="61"/>
      <c r="C20" s="11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110"/>
      <c r="B21" s="61"/>
      <c r="C21" s="11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110"/>
      <c r="B22" s="61"/>
      <c r="C22" s="11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10"/>
      <c r="B23" s="61"/>
      <c r="C23" s="11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>
      <c r="A24" s="110"/>
      <c r="B24" s="61"/>
      <c r="C24" s="11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>
      <c r="A25" s="110"/>
      <c r="B25" s="61"/>
      <c r="C25" s="11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>
      <c r="A26" s="110"/>
      <c r="B26" s="187"/>
      <c r="C26" s="11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>
      <c r="A27" s="110"/>
      <c r="B27" s="61"/>
      <c r="C27" s="11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>
      <c r="A28" s="110"/>
      <c r="B28" s="61"/>
      <c r="C28" s="11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>
      <c r="A29" s="110"/>
      <c r="B29" s="61"/>
      <c r="C29" s="11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>
      <c r="A30" s="110"/>
      <c r="B30" s="61"/>
      <c r="C30" s="11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>
      <c r="A31" s="110"/>
      <c r="B31" s="61"/>
      <c r="C31" s="11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>
      <c r="A32" s="110"/>
      <c r="B32" s="61"/>
      <c r="C32" s="11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>
      <c r="A33" s="110"/>
      <c r="B33" s="61"/>
      <c r="C33" s="11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>
      <c r="A34" s="110"/>
      <c r="B34" s="61"/>
      <c r="C34" s="11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>
      <c r="A35" s="110"/>
      <c r="B35" s="61"/>
      <c r="C35" s="11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>
      <c r="A36" s="110"/>
      <c r="B36" s="187"/>
      <c r="C36" s="11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>
      <c r="A37" s="110"/>
      <c r="B37" s="61"/>
      <c r="C37" s="11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>
      <c r="A38" s="110"/>
      <c r="B38" s="187"/>
      <c r="C38" s="11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>
      <c r="A39" s="110"/>
      <c r="B39" s="61"/>
      <c r="C39" s="11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>
      <c r="A40" s="110"/>
      <c r="B40" s="61"/>
      <c r="C40" s="11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>
      <c r="A41" s="110"/>
      <c r="B41" s="61"/>
      <c r="C41" s="11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>
      <c r="A42" s="110"/>
      <c r="B42" s="61"/>
      <c r="C42" s="11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110"/>
      <c r="B43" s="61"/>
      <c r="C43" s="11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110"/>
      <c r="B44" s="61"/>
      <c r="C44" s="11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10"/>
      <c r="B45" s="61"/>
      <c r="C45" s="11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10"/>
      <c r="B46" s="61"/>
      <c r="C46" s="11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10"/>
      <c r="B47" s="61"/>
      <c r="C47" s="11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10"/>
      <c r="B48" s="61"/>
      <c r="C48" s="11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10"/>
      <c r="B49" s="61"/>
      <c r="C49" s="11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10"/>
      <c r="B50" s="61"/>
      <c r="C50" s="11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10"/>
      <c r="B51" s="61"/>
      <c r="C51" s="11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10"/>
      <c r="B52" s="61"/>
      <c r="C52" s="11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10"/>
      <c r="B53" s="61"/>
      <c r="C53" s="11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10"/>
      <c r="B54" s="61"/>
      <c r="C54" s="11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10"/>
      <c r="B55" s="61"/>
      <c r="C55" s="11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10"/>
      <c r="B56" s="61"/>
      <c r="C56" s="11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10"/>
      <c r="B57" s="61"/>
      <c r="C57" s="11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10"/>
      <c r="B58" s="61"/>
      <c r="C58" s="11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10"/>
      <c r="B59" s="61"/>
      <c r="C59" s="11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10"/>
      <c r="B60" s="61"/>
      <c r="C60" s="11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10"/>
      <c r="B61" s="61"/>
      <c r="C61" s="11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10"/>
      <c r="B62" s="61"/>
      <c r="C62" s="11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10"/>
      <c r="B63" s="61"/>
      <c r="C63" s="11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10"/>
      <c r="B64" s="61"/>
      <c r="C64" s="11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10"/>
      <c r="B65" s="61"/>
      <c r="C65" s="11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10"/>
      <c r="B66" s="61"/>
      <c r="C66" s="11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10"/>
      <c r="B67" s="187"/>
      <c r="C67" s="11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10"/>
      <c r="B68" s="61"/>
      <c r="C68" s="11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10"/>
      <c r="B69" s="61"/>
      <c r="C69" s="11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10"/>
      <c r="B70" s="61"/>
      <c r="C70" s="11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10"/>
      <c r="B71" s="61"/>
      <c r="C71" s="11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10"/>
      <c r="B72" s="61"/>
      <c r="C72" s="11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10"/>
      <c r="B73" s="61"/>
      <c r="C73" s="11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10"/>
      <c r="B74" s="61"/>
      <c r="C74" s="11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10"/>
      <c r="B75" s="61"/>
      <c r="C75" s="11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10"/>
      <c r="B76" s="61"/>
      <c r="C76" s="11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10"/>
      <c r="B77" s="61"/>
      <c r="C77" s="11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10"/>
      <c r="B78" s="61"/>
      <c r="C78" s="11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10"/>
      <c r="B79" s="61"/>
      <c r="C79" s="11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10"/>
      <c r="B80" s="61"/>
      <c r="C80" s="11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10"/>
      <c r="B81" s="61"/>
      <c r="C81" s="11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10"/>
      <c r="B82" s="61"/>
      <c r="C82" s="11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10"/>
      <c r="B83" s="61"/>
      <c r="C83" s="11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10"/>
      <c r="B84" s="61"/>
      <c r="C84" s="11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10"/>
      <c r="B85" s="61"/>
      <c r="C85" s="11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10"/>
      <c r="B86" s="61"/>
      <c r="C86" s="11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10"/>
      <c r="B87" s="61"/>
      <c r="C87" s="11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10"/>
      <c r="B88" s="61"/>
      <c r="C88" s="11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10"/>
      <c r="B89" s="61"/>
      <c r="C89" s="11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110"/>
      <c r="B90" s="61"/>
      <c r="C90" s="11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10"/>
      <c r="B91" s="61"/>
      <c r="C91" s="11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10"/>
      <c r="B92" s="61"/>
      <c r="C92" s="11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10"/>
      <c r="B93" s="61"/>
      <c r="C93" s="11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10"/>
      <c r="B94" s="61"/>
      <c r="C94" s="11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10"/>
      <c r="B95" s="61"/>
      <c r="C95" s="11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10"/>
      <c r="B96" s="61"/>
      <c r="C96" s="11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10"/>
      <c r="B97" s="61"/>
      <c r="C97" s="11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10"/>
      <c r="B98" s="61"/>
      <c r="C98" s="11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10"/>
      <c r="B99" s="61"/>
      <c r="C99" s="11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10"/>
      <c r="B100" s="61"/>
      <c r="C100" s="11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10"/>
      <c r="B101" s="61"/>
      <c r="C101" s="11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10"/>
      <c r="B102" s="61"/>
      <c r="C102" s="11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10"/>
      <c r="B103" s="61"/>
      <c r="C103" s="11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10"/>
      <c r="B104" s="61"/>
      <c r="C104" s="11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10"/>
      <c r="B105" s="61"/>
      <c r="C105" s="11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10"/>
      <c r="B106" s="61"/>
      <c r="C106" s="11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10"/>
      <c r="B107" s="61"/>
      <c r="C107" s="11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10"/>
      <c r="B108" s="61"/>
      <c r="C108" s="11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10"/>
      <c r="B109" s="61"/>
      <c r="C109" s="11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10"/>
      <c r="B110" s="61"/>
      <c r="C110" s="11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0"/>
      <c r="B111" s="61"/>
      <c r="C111" s="11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0"/>
      <c r="B112" s="61"/>
      <c r="C112" s="11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0"/>
      <c r="B113" s="61"/>
      <c r="C113" s="11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0"/>
      <c r="B114" s="61"/>
      <c r="C114" s="11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0"/>
      <c r="B115" s="61"/>
      <c r="C115" s="11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0"/>
      <c r="B116" s="61"/>
      <c r="C116" s="11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10"/>
      <c r="B117" s="61"/>
      <c r="C117" s="11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10"/>
      <c r="B118" s="61"/>
      <c r="C118" s="11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10"/>
      <c r="B119" s="61"/>
      <c r="C119" s="11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10"/>
      <c r="B120" s="61"/>
      <c r="C120" s="11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10"/>
      <c r="B121" s="61"/>
      <c r="C121" s="11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7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7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7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7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7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7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7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7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7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7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7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7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7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7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7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7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7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7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7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7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7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7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7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7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7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7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7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7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7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7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7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7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7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7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7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7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7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7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7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7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7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7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7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7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7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7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7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7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7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7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7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7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7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7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7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7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7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7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7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7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7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7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7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7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7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7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7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7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7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7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7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7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7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7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7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7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7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7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7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7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7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7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7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7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7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7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7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7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7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7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7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7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7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7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7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7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7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7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7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7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7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7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7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7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7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7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7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7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7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7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7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7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7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7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7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7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7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7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7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7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7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7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7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7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7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7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7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7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7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7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7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7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7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7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7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7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7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7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7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7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7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7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7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7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7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7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7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7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7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7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7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7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7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7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7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7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7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7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7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7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7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7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7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7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7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7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7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7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7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7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7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7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7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7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7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7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7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7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7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7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7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7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7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7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7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7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7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7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7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7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7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7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7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7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7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7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7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7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7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7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7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7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7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7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7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7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7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7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7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7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7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7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7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7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7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7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7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7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7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7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7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7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7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7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7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7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7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7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7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7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7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7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7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7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7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7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7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7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7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7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7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7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7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7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7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7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7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7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7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7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7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7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7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7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7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7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7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7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7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7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7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7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7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7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7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7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7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7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7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7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7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7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7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7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7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7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7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7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7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7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7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7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7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7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7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7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7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7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7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7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7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7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7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7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7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7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7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7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7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7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7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7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7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7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7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7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7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7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7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7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7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7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7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7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7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7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7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7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7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7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7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7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7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7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7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7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7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7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7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7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7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7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7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7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7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7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7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7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7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7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7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7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7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7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7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7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7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7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7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7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7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7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7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7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7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7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7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7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7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7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7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7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7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7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7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7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7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7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7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7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7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7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7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7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7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7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7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7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7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7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7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7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7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7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7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7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7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7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7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7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7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7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7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7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7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7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7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7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7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7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7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7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7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7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7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7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7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7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7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7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7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7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7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7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7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7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7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7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7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7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7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7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7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7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7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7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7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7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7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7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7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7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7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7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7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7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7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7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7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7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7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7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7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7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7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7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7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7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7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7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7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7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7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7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7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7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7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7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7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7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7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7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7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7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7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7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7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7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7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7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7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7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7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7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7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7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7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7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7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7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7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7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7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7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7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7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7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7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7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7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7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7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7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7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7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7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7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7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7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7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7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7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7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7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7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7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7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7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7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7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7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7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7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7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7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7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7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7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7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7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7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7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7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7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7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7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7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7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7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7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7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7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7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7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7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7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7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7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7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7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7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7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7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7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7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7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7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7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7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7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7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7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7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7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7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7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7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7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7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7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7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7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7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7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7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7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7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7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7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7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7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7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7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7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7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7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7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7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7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7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7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7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7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7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7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7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7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7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7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7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7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7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7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7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7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7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7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7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7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7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7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7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7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7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7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7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7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7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7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7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7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7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7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7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7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7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7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7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7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7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7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7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7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7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7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7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7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7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7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7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7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7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7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7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7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7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7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7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7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7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7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7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7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7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7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7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7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7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7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7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7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7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7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7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7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7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7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7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7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7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7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7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7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7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7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7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7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7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7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7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7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7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7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7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7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7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7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7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7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7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7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7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7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7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7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7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7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7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7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7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7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7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7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7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7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7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7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7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7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7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7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7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7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7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7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7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7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7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7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7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7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7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7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7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7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7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7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7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7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7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7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7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7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7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7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7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7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7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7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7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7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7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7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7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7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7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7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7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7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7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7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7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7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7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7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7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7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7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7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7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7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7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7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7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7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7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7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7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7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7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7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7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7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7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7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7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7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7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7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7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7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7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7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7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7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7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7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7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7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7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7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7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7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7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7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7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7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7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7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7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7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7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7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7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7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7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7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7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7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7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7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7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7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7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7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7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7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7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7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7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7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7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7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7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7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</sheetData>
  <dataValidations>
    <dataValidation type="list" allowBlank="1" showErrorMessage="1" sqref="D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drawing r:id="rId1"/>
</worksheet>
</file>