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ebts" sheetId="2" r:id="rId6"/>
    <sheet state="visible" name="2025 - Expenses" sheetId="3" r:id="rId7"/>
    <sheet state="visible" name="Jan-2025 (CC)" sheetId="4" r:id="rId8"/>
    <sheet state="visible" name="Feb-2025 (CC)" sheetId="5" r:id="rId9"/>
    <sheet state="visible" name="Mar-2025 (CC)" sheetId="6" r:id="rId10"/>
    <sheet state="visible" name="Apr-2025 (CC)" sheetId="7" r:id="rId11"/>
    <sheet state="visible" name="May-2025 (CC)" sheetId="8" r:id="rId12"/>
    <sheet state="visible" name="Jun-2025 (CC)" sheetId="9" r:id="rId13"/>
    <sheet state="visible" name="Jul-2025 (CC)" sheetId="10" r:id="rId14"/>
    <sheet state="visible" name="Aug-2025 (CC)" sheetId="11" r:id="rId15"/>
    <sheet state="visible" name="Sep-2025 (CC)" sheetId="12" r:id="rId16"/>
    <sheet state="visible" name="Oct-2025 (CC)" sheetId="13" r:id="rId17"/>
    <sheet state="visible" name="Nov-2025 (CC)" sheetId="14" r:id="rId18"/>
    <sheet state="visible" name="Dec-2025 (CC)" sheetId="15" r:id="rId19"/>
    <sheet state="visible" name="Jan-2025" sheetId="16" r:id="rId20"/>
    <sheet state="visible" name="Feb-2025" sheetId="17" r:id="rId21"/>
    <sheet state="visible" name="Mar-2025" sheetId="18" r:id="rId22"/>
    <sheet state="visible" name="Apr-2025" sheetId="19" r:id="rId23"/>
    <sheet state="visible" name="May-2025" sheetId="20" r:id="rId24"/>
    <sheet state="visible" name="Jun-2025" sheetId="21" r:id="rId25"/>
    <sheet state="visible" name="Jul-2025" sheetId="22" r:id="rId26"/>
    <sheet state="visible" name="Aug-2025" sheetId="23" r:id="rId27"/>
    <sheet state="visible" name="Sep-2025" sheetId="24" r:id="rId28"/>
    <sheet state="visible" name="Oct-2025" sheetId="25" r:id="rId29"/>
    <sheet state="visible" name="Nov-2025" sheetId="26" r:id="rId30"/>
    <sheet state="visible" name="Dec-2025" sheetId="27" r:id="rId31"/>
  </sheets>
  <definedNames>
    <definedName hidden="1" localSheetId="3" name="_xlnm._FilterDatabase">'Jan-2025 (CC)'!$A$1:$Z$122</definedName>
    <definedName hidden="1" localSheetId="4" name="_xlnm._FilterDatabase">'Feb-2025 (CC)'!$A$1:$Y$100</definedName>
    <definedName hidden="1" localSheetId="5" name="_xlnm._FilterDatabase">'Mar-2025 (CC)'!$A$1:$Y$900</definedName>
    <definedName hidden="1" localSheetId="6" name="_xlnm._FilterDatabase">'Apr-2025 (CC)'!$A$1:$Y$934</definedName>
    <definedName hidden="1" localSheetId="7" name="_xlnm._FilterDatabase">'May-2025 (CC)'!$A$1:$Y$834</definedName>
    <definedName hidden="1" localSheetId="8" name="_xlnm._FilterDatabase">'Jun-2025 (CC)'!$A$1:$Y$828</definedName>
    <definedName hidden="1" localSheetId="9" name="_xlnm._FilterDatabase">'Jul-2025 (CC)'!$A$1:$Y$831</definedName>
    <definedName hidden="1" localSheetId="10" name="_xlnm._FilterDatabase">'Aug-2025 (CC)'!$A$1:$Y$844</definedName>
    <definedName hidden="1" localSheetId="11" name="_xlnm._FilterDatabase">'Sep-2025 (CC)'!$A$1:$Y$836</definedName>
    <definedName hidden="1" localSheetId="12" name="_xlnm._FilterDatabase">'Oct-2025 (CC)'!$A$1:$Y$854</definedName>
    <definedName hidden="1" localSheetId="13" name="_xlnm._FilterDatabase">'Nov-2025 (CC)'!$A$1:$Y$854</definedName>
    <definedName hidden="1" localSheetId="14" name="_xlnm._FilterDatabase">'Dec-2025 (CC)'!$A$1:$Y$854</definedName>
  </definedNames>
  <calcPr/>
  <pivotCaches>
    <pivotCache cacheId="0" r:id="rId32"/>
    <pivotCache cacheId="1" r:id="rId33"/>
    <pivotCache cacheId="2" r:id="rId34"/>
    <pivotCache cacheId="3" r:id="rId35"/>
    <pivotCache cacheId="4" r:id="rId36"/>
    <pivotCache cacheId="5" r:id="rId37"/>
    <pivotCache cacheId="6" r:id="rId38"/>
    <pivotCache cacheId="7" r:id="rId39"/>
    <pivotCache cacheId="8" r:id="rId40"/>
    <pivotCache cacheId="9" r:id="rId41"/>
    <pivotCache cacheId="10" r:id="rId42"/>
    <pivotCache cacheId="11" r:id="rId43"/>
  </pivotCaches>
</workbook>
</file>

<file path=xl/sharedStrings.xml><?xml version="1.0" encoding="utf-8"?>
<sst xmlns="http://schemas.openxmlformats.org/spreadsheetml/2006/main" count="3785" uniqueCount="740">
  <si>
    <t>Month</t>
  </si>
  <si>
    <t>Net Income (Matt)</t>
  </si>
  <si>
    <t>Comm Income (Matt)</t>
  </si>
  <si>
    <t>Net Income (Nicole)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</si>
  <si>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</si>
  <si>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</si>
  <si>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</si>
  <si>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</si>
  <si>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</si>
  <si>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</si>
  <si>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</si>
  <si>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</si>
  <si>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</si>
  <si>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</si>
  <si>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</si>
  <si>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</si>
  <si>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</si>
  <si>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Matt</t>
  </si>
  <si>
    <t>Gross Salary</t>
  </si>
  <si>
    <t>Base</t>
  </si>
  <si>
    <t>Comm</t>
  </si>
  <si>
    <t>Jan 1 - Feb 28</t>
  </si>
  <si>
    <t>Mar 1 - Mar 30</t>
  </si>
  <si>
    <t>Apr 7 - Jun 30</t>
  </si>
  <si>
    <t>Jul 1 - Dec 31</t>
  </si>
  <si>
    <t>Nicole</t>
  </si>
  <si>
    <t>Jan 1 - Jun 30</t>
  </si>
  <si>
    <t>🚦 Savings Vehicle Priority (to stay on track)</t>
  </si>
  <si>
    <t>Kill LOC ($5K) immediately.</t>
  </si>
  <si>
    <t>Emergency fund $30K–$45K in HISA (after renos).</t>
  </si>
  <si>
    <t>Employer-matched RRSP ($1,050/mo, keep forever).</t>
  </si>
  <si>
    <t>ESPP max out → sell + reinvest gains (guaranteed 15%).</t>
  </si>
  <si>
    <t>TFSA contributions ($1,500/mo Matt, $500/mo Nicole + reinvest ESPP &amp; RSUs).</t>
  </si>
  <si>
    <t>Interest-free loan → save ~$530/mo until Dec 2026.</t>
  </si>
  <si>
    <t>Mortgage → pay as scheduled/accelerated, no extra beyond plan.</t>
  </si>
  <si>
    <t>Extra RRSP only if TFSA is maxed and you need tax deductions.</t>
  </si>
  <si>
    <t>Loan Name</t>
  </si>
  <si>
    <t>Creditor</t>
  </si>
  <si>
    <t>Initial Balance</t>
  </si>
  <si>
    <t>Monthly Payment</t>
  </si>
  <si>
    <t>Monthly Extra</t>
  </si>
  <si>
    <t>Current Balance</t>
  </si>
  <si>
    <t>Savings</t>
  </si>
  <si>
    <t>Remaining</t>
  </si>
  <si>
    <t>Balance at Due</t>
  </si>
  <si>
    <t>Due Date</t>
  </si>
  <si>
    <t>Notes</t>
  </si>
  <si>
    <t>Brookstone (Doors)</t>
  </si>
  <si>
    <t>FinanceIt</t>
  </si>
  <si>
    <t>0% interest for 24 months</t>
  </si>
  <si>
    <t>Home Depot (Range)</t>
  </si>
  <si>
    <t>Home Depot CC</t>
  </si>
  <si>
    <t>Tangerine Line of Credit</t>
  </si>
  <si>
    <t>Tangerine</t>
  </si>
  <si>
    <t>Total:</t>
  </si>
  <si>
    <t>Potential Loans</t>
  </si>
  <si>
    <t>HandyBros (WaterHeater/Furnace/Heatpump)</t>
  </si>
  <si>
    <t>0% interest for 90 days</t>
  </si>
  <si>
    <t>Canada Greener Homes Loan</t>
  </si>
  <si>
    <t>0% interest for 20 years</t>
  </si>
  <si>
    <t>Municipal Taxes</t>
  </si>
  <si>
    <t>Hydro</t>
  </si>
  <si>
    <t>Gas</t>
  </si>
  <si>
    <t>Internet</t>
  </si>
  <si>
    <t>Mortgage</t>
  </si>
  <si>
    <t>Reliance</t>
  </si>
  <si>
    <t>Security</t>
  </si>
  <si>
    <t>Mobile</t>
  </si>
  <si>
    <t>Car Insurance</t>
  </si>
  <si>
    <t>Home Insurance</t>
  </si>
  <si>
    <t>Pet Insurance</t>
  </si>
  <si>
    <t>Car Payment</t>
  </si>
  <si>
    <t>Alcohol</t>
  </si>
  <si>
    <t>Apple Sub</t>
  </si>
  <si>
    <t>Cannabis</t>
  </si>
  <si>
    <t>Canva Sub</t>
  </si>
  <si>
    <t>Car Expenses</t>
  </si>
  <si>
    <t>Charity</t>
  </si>
  <si>
    <t>Clothes</t>
  </si>
  <si>
    <t>Coffee</t>
  </si>
  <si>
    <t>Daycare</t>
  </si>
  <si>
    <t>Dine-In</t>
  </si>
  <si>
    <t>Entertainment</t>
  </si>
  <si>
    <t>Gifts</t>
  </si>
  <si>
    <t>Groceries</t>
  </si>
  <si>
    <t>Health &amp; Beauty</t>
  </si>
  <si>
    <t>Home</t>
  </si>
  <si>
    <t>Ipsy Sub</t>
  </si>
  <si>
    <t>Misc</t>
  </si>
  <si>
    <t>Newspaper</t>
  </si>
  <si>
    <t>Pet Food/Toys</t>
  </si>
  <si>
    <t>Prime Video Sub</t>
  </si>
  <si>
    <t>Spotify</t>
  </si>
  <si>
    <t>Takeout</t>
  </si>
  <si>
    <t>Travel</t>
  </si>
  <si>
    <t>Uber</t>
  </si>
  <si>
    <t>Vet Bill</t>
  </si>
  <si>
    <t>YouTube</t>
  </si>
  <si>
    <t>AVG</t>
  </si>
  <si>
    <t>TOTAL</t>
  </si>
  <si>
    <t>Jan-Apr</t>
  </si>
  <si>
    <t>May-Dec</t>
  </si>
  <si>
    <t>Divide by 2</t>
  </si>
  <si>
    <t>Insurance</t>
  </si>
  <si>
    <t>Property Taxes</t>
  </si>
  <si>
    <t>DATE</t>
  </si>
  <si>
    <t>ITEM</t>
  </si>
  <si>
    <t>AMOUNT</t>
  </si>
  <si>
    <t>CATEGORY</t>
  </si>
  <si>
    <t>GOODFOOD* GOODFOOD MAR</t>
  </si>
  <si>
    <t>GROCERIES</t>
  </si>
  <si>
    <t>MANDARIN LONDON</t>
  </si>
  <si>
    <t>DINE IN</t>
  </si>
  <si>
    <t>SPOTIFY                 STOCKHOLM</t>
  </si>
  <si>
    <t>SPOTIFY SUB</t>
  </si>
  <si>
    <t>SESSIONS CANNABIS</t>
  </si>
  <si>
    <t>CANNABIS</t>
  </si>
  <si>
    <t>METRO  150              LONDON</t>
  </si>
  <si>
    <t xml:space="preserve">SUM of  AMOUNT </t>
  </si>
  <si>
    <t>COUNTA of CATEGORY</t>
  </si>
  <si>
    <t>PETSMART INC. 2433      LONDON</t>
  </si>
  <si>
    <t>PET FOOD/TOYS</t>
  </si>
  <si>
    <t>SCENTBIRD</t>
  </si>
  <si>
    <t>HEALTH &amp; BEAUTY</t>
  </si>
  <si>
    <t>APPLE SUB</t>
  </si>
  <si>
    <t>AMAZON CHANNELS         AMAZON.CA</t>
  </si>
  <si>
    <t>PRIME VIDEO SUB</t>
  </si>
  <si>
    <t>ONE OF A KIND SHOW</t>
  </si>
  <si>
    <t>PAYMENT</t>
  </si>
  <si>
    <t>CANVA SUB</t>
  </si>
  <si>
    <t>DOGTOPIA OF LONDON 00-0 LONDON</t>
  </si>
  <si>
    <t>DAY CARE</t>
  </si>
  <si>
    <t>CHARITY</t>
  </si>
  <si>
    <t>DOMINOS PIZZA #10250</t>
  </si>
  <si>
    <t>TAKE OUT</t>
  </si>
  <si>
    <t>COFFEE</t>
  </si>
  <si>
    <t>PIONEER STN #131 PIONEE LONDON</t>
  </si>
  <si>
    <t>GAS</t>
  </si>
  <si>
    <t>SHOPPERS DRUG MART #07</t>
  </si>
  <si>
    <t>ENTERTAINMENT</t>
  </si>
  <si>
    <t>SP TONIC BLOOMS</t>
  </si>
  <si>
    <t>GIFTS</t>
  </si>
  <si>
    <t>APPLE.COM/BILL</t>
  </si>
  <si>
    <t>BATH &amp; BODY WORKS #6045 LONDON</t>
  </si>
  <si>
    <t>GARY EVANS PHOTOGRAPHY  KITCHENER</t>
  </si>
  <si>
    <t>MISC</t>
  </si>
  <si>
    <t>HALLMARK CARDS LONDON   LONDON</t>
  </si>
  <si>
    <t>HOME</t>
  </si>
  <si>
    <t>NESTLÉ CANADA INC       TORONTO</t>
  </si>
  <si>
    <t>IPSY SUB</t>
  </si>
  <si>
    <t>STARBUCKS 800-782-7282</t>
  </si>
  <si>
    <t>TELUS PRE-AUTH PAYMENT  EDMONTON</t>
  </si>
  <si>
    <t>TELUS SECURITY</t>
  </si>
  <si>
    <t>MOBILE</t>
  </si>
  <si>
    <t>UBER TRIP               HTTPS://HELP.UB</t>
  </si>
  <si>
    <t>UBER</t>
  </si>
  <si>
    <t>NETFLIX</t>
  </si>
  <si>
    <t>WINKS EATERY INC 001    LONDON</t>
  </si>
  <si>
    <t>NEWSPAPERS</t>
  </si>
  <si>
    <t>LOBLAWS 1016</t>
  </si>
  <si>
    <t>TELUS MOBILITY PREAUTH  CALGARY</t>
  </si>
  <si>
    <t>RELIANCE</t>
  </si>
  <si>
    <t>WINNERS 413</t>
  </si>
  <si>
    <t>GOOGLE *TV</t>
  </si>
  <si>
    <t>TRAVEL</t>
  </si>
  <si>
    <t>AMZN Mktp CA*Z52AY1BJ0</t>
  </si>
  <si>
    <t>YOUTUBE SUB</t>
  </si>
  <si>
    <t>Grand Total</t>
  </si>
  <si>
    <t>CHICK-FIL-A WHARNCLIFF</t>
  </si>
  <si>
    <t>Netflix.com</t>
  </si>
  <si>
    <t>ONE PLANT  WONDERLAND</t>
  </si>
  <si>
    <t>SUB POP 342             2064418441</t>
  </si>
  <si>
    <t>THE HOME DEPOT #7274    NORTH YORK</t>
  </si>
  <si>
    <t>Amazon.ca Prime Member</t>
  </si>
  <si>
    <t>RELIANCE HOME COMFORT</t>
  </si>
  <si>
    <t>AMAZON.CA PRIME MEMBER  AMAZON.CA/PRI</t>
  </si>
  <si>
    <t>THE HOME DEPOT #7033    LONDON</t>
  </si>
  <si>
    <t>FANTASTIC NAILS AND SP</t>
  </si>
  <si>
    <t>APPLE.COM/BILL          TORONTO</t>
  </si>
  <si>
    <t>UBER CANADA/UBERONE</t>
  </si>
  <si>
    <t>CDNCANCERSOC-DR CDNCANC TORONTO</t>
  </si>
  <si>
    <t>JS RYAN  CO             LONDON</t>
  </si>
  <si>
    <t>PRIMEVIDEO.C*Z588Y0JD2  WWW.AMAZON.CA</t>
  </si>
  <si>
    <t>FLAIR AIRLINES</t>
  </si>
  <si>
    <t>COSTCO BY INSTACART     HALIFAX MID-HAR</t>
  </si>
  <si>
    <t>COUNTRY PAWS BOARDING 2 LONDON</t>
  </si>
  <si>
    <t>A&amp;W #4864 DORCHESTER    DORCHESTER</t>
  </si>
  <si>
    <t>ELMHURST INN 00-0804134 INGERSOLL</t>
  </si>
  <si>
    <t>ELMHURST INN SPA        INGERSOLL</t>
  </si>
  <si>
    <t>GLOBAL PET FOODS        LONDON</t>
  </si>
  <si>
    <t>PETRO-CANADA 10451      DORCHESTER</t>
  </si>
  <si>
    <t>IPSY* ADD ONS</t>
  </si>
  <si>
    <t>ROGERS ******3772       888-764-3771</t>
  </si>
  <si>
    <t>SHOPPERS DRUG MART #10</t>
  </si>
  <si>
    <t>THE GLOBE AND MAIL INC  TORONTO</t>
  </si>
  <si>
    <t>PAYMENT RECEIVED - THANK YOU</t>
  </si>
  <si>
    <t>TREMBLETT'S YIG 7962</t>
  </si>
  <si>
    <t>IPSY* BOXYCHARM</t>
  </si>
  <si>
    <t>AMZN MKTP CA*Z70ZG0SM2  WWW.AMAZON.CA</t>
  </si>
  <si>
    <t>AMZN MKTP CA*ZC4PQ80Y1  WWW.AMAZON.CA</t>
  </si>
  <si>
    <t>WENDYS 114</t>
  </si>
  <si>
    <t>CANVA* I04412-50466686</t>
  </si>
  <si>
    <t>WDW RESORT RESV         LAKE BUENA VI</t>
  </si>
  <si>
    <t>MASSAGE THERAPY CENTRE  London</t>
  </si>
  <si>
    <t>BURDOCK'S DRY CLEANERS IN</t>
  </si>
  <si>
    <t>NEW DEMOCRATIC PARTY    416-591-5455</t>
  </si>
  <si>
    <t>HONK - CAN              866-675-7337</t>
  </si>
  <si>
    <t>GOOGLE *YouTubePremium</t>
  </si>
  <si>
    <t>PETSMART INC. 2433</t>
  </si>
  <si>
    <t>PLAYSTATION NETWORK     877-971-7669</t>
  </si>
  <si>
    <t>CHARCOAL STEAKHOUSE     KITCHENER</t>
  </si>
  <si>
    <t>LYNN'S BAKERY &amp; DELI</t>
  </si>
  <si>
    <t>REDBERRY SHORE RESTAURA MISSISSAUGA</t>
  </si>
  <si>
    <t>PAYMENT - THANK YOU</t>
  </si>
  <si>
    <t>ARAMARK/LONDON APT #53  LONDON</t>
  </si>
  <si>
    <t>HUEY MAGOOS LAKE NONA 0 ORLANDO</t>
  </si>
  <si>
    <t>SUM of AMOUNT</t>
  </si>
  <si>
    <t>LUSH Fresh Handmade Co</t>
  </si>
  <si>
    <t>MCDONALD'S #1501        LONDON</t>
  </si>
  <si>
    <t>FACTORY SHOE LONDON     LONDON</t>
  </si>
  <si>
    <t>CLOTHES</t>
  </si>
  <si>
    <t>SQ *LOCOMOTIVE ESPRESS</t>
  </si>
  <si>
    <t>PRIMEVIDEO.C*XF8FS6EQ3  WWW.AMAZON.CA</t>
  </si>
  <si>
    <t>SEPHORA WESTWOOD POWER</t>
  </si>
  <si>
    <t>MARSHALLS 716</t>
  </si>
  <si>
    <t>METRO  150</t>
  </si>
  <si>
    <t>GLOBAL PET FOODS</t>
  </si>
  <si>
    <t>SHOPPERS DRUG MART #11  LONDON</t>
  </si>
  <si>
    <t>INSURANCE</t>
  </si>
  <si>
    <t>SWISS CHALET #1135E</t>
  </si>
  <si>
    <t>VET BILL</t>
  </si>
  <si>
    <t>KENNEDY SPACE CTR WE    KENNEDY SPACE C</t>
  </si>
  <si>
    <t>WDW TICKETS             LAKE BUENA VI</t>
  </si>
  <si>
    <t>THE ECONOMIST The Econo NEW YORK</t>
  </si>
  <si>
    <t>PIONEER STN #131</t>
  </si>
  <si>
    <t>UBER CANADA/UBEREATS</t>
  </si>
  <si>
    <t>TEMU.COM</t>
  </si>
  <si>
    <t>dhgate.com</t>
  </si>
  <si>
    <t>AIRCANADA ONBOARD CAFE  MISSISSAUGA</t>
  </si>
  <si>
    <t>THE HOME DEPOT #7033</t>
  </si>
  <si>
    <t>PET VALU #2027</t>
  </si>
  <si>
    <t>SHELBY'S                LONDON</t>
  </si>
  <si>
    <t>FOREST OF FLOWERS FORES LONDON</t>
  </si>
  <si>
    <t>UBER EATS               HTTPS://HELP.UB</t>
  </si>
  <si>
    <t>PRIMEVIDEO.C*ZC26W4IF1  WWW.AMAZON.CA</t>
  </si>
  <si>
    <t>WESTERN ANIMAL CLINIC</t>
  </si>
  <si>
    <t>MCDONALD'S #10888       LONDON</t>
  </si>
  <si>
    <t>WORKWEEKLUNCH.COM</t>
  </si>
  <si>
    <t>ARTS DINER</t>
  </si>
  <si>
    <t>SPACEPORT- TICKETING</t>
  </si>
  <si>
    <t>Versilia S.-Canada-Ltd</t>
  </si>
  <si>
    <t>SECURITY NATIONAL INSUR MONTREAL</t>
  </si>
  <si>
    <t>DUNKIN #352306</t>
  </si>
  <si>
    <t>CANVA* I04441-66461743</t>
  </si>
  <si>
    <t>WDW LIGHTNING LANE      LAKE BUENA VI</t>
  </si>
  <si>
    <t>HOMOSASSA RETAIL &amp; FER</t>
  </si>
  <si>
    <t>SHELL SERVICE STATION 5 MERRITT ISLAND</t>
  </si>
  <si>
    <t>DUNKIN #310287 Q35 3102 DELRAY BCH</t>
  </si>
  <si>
    <t>KENNEDY SPACE CENTER    321-452-2121</t>
  </si>
  <si>
    <t>KENNEDY SPACE CENTER    Merritt Island</t>
  </si>
  <si>
    <t>TARGET        022699 09 TITUSVILLE</t>
  </si>
  <si>
    <t>SHELL OIL 575298808QPS</t>
  </si>
  <si>
    <t>SPACEPORT- RESTAURANT</t>
  </si>
  <si>
    <t>WITHJOY.COM</t>
  </si>
  <si>
    <t>SQ *CAFE #65115 DELRAY</t>
  </si>
  <si>
    <t>DOLLARAMA # 443</t>
  </si>
  <si>
    <t>BURGER'S PRIEST 3721E</t>
  </si>
  <si>
    <t>LCBO/RAO #0575 LONDON   LONDON</t>
  </si>
  <si>
    <t>ALCOHOL</t>
  </si>
  <si>
    <t>NIKU FARMS              647-5787639</t>
  </si>
  <si>
    <t>APPLE.COM/CA            TORONTO</t>
  </si>
  <si>
    <t>Yoast B.V. merchantRef</t>
  </si>
  <si>
    <t>MILESTONES RESTAURANT   LONDON</t>
  </si>
  <si>
    <t>APPLE STORE R489 R489   LONDON</t>
  </si>
  <si>
    <t>CREATIVE MARKET</t>
  </si>
  <si>
    <t>SP TPPEOPLE             BROOKLYN</t>
  </si>
  <si>
    <t>COACH</t>
  </si>
  <si>
    <t>CDNCANCERSOC-FRUP       TORONTO</t>
  </si>
  <si>
    <t>FRESHCO #9863 LONDON    LONDON</t>
  </si>
  <si>
    <t>Homestyler HK Limite</t>
  </si>
  <si>
    <t>NETFLIX.COM</t>
  </si>
  <si>
    <t>MONTANA'S #3023E</t>
  </si>
  <si>
    <t>CANADIAN TIRE GAS BAR # LONDON</t>
  </si>
  <si>
    <t>1010 BUDWEISER GARDENS  LONDON</t>
  </si>
  <si>
    <t>WEB*BLUEHOST.COM</t>
  </si>
  <si>
    <t>407-ETR-WEB</t>
  </si>
  <si>
    <t>OPENAI *CHATGPT SUBSCR</t>
  </si>
  <si>
    <t>SOBEYS #4155 LONDON     LONDON</t>
  </si>
  <si>
    <t>AMZN MKTP CA*N97OY7LW3  WWW.AMAZON.CA</t>
  </si>
  <si>
    <t>PRIMEVIDEO.C*RE0V87WY3  WWW.AMAZON.CA</t>
  </si>
  <si>
    <t>TCKTWEB*THEPLANETSMASH</t>
  </si>
  <si>
    <t>CANADA LIFE PLACE 00-08 LONDON</t>
  </si>
  <si>
    <t>TST-HUNTER &amp; CO         LONDON</t>
  </si>
  <si>
    <t>THE CHURCH KEY THE CHUR LONDON</t>
  </si>
  <si>
    <t>IDLWYLD INN &amp; SPA 21127 LONDON</t>
  </si>
  <si>
    <t>PETSMART INC. 0924</t>
  </si>
  <si>
    <t>MCDONALD'S #1501</t>
  </si>
  <si>
    <t>MARSHALLS/HOMESENSE 76</t>
  </si>
  <si>
    <t>ONE PLANT  MASONVILLE</t>
  </si>
  <si>
    <t>BATH &amp; BODY WORKS #604</t>
  </si>
  <si>
    <t>LOBLAWS #27</t>
  </si>
  <si>
    <t>Nespresso Masonville</t>
  </si>
  <si>
    <t>VERSILIA SOLUTIONS (CAN TORONTO</t>
  </si>
  <si>
    <t>WEALTHSIMPLE TAX        TORONTO</t>
  </si>
  <si>
    <t>HILTON GARDEN INN ORLAN ORLANDO</t>
  </si>
  <si>
    <t>MCO CIBO EXPRESS 92</t>
  </si>
  <si>
    <t>UBER CANADA/UBERTRIP</t>
  </si>
  <si>
    <t>HOOTS ORLNDO AIRPRT TG  ORLANDO</t>
  </si>
  <si>
    <t>NATIONAL CAR R017273 06 ORLANDO</t>
  </si>
  <si>
    <t>SPICE &amp; TEA BUENA VISTA LAKE BUENA VI</t>
  </si>
  <si>
    <t>WAWA 5205 0000          ORLANDO</t>
  </si>
  <si>
    <t>WDW DISNEY RESORTS      LAKE BUENA VI</t>
  </si>
  <si>
    <t>WDW RIVERSIDE MILL      LAKE BUENA VI</t>
  </si>
  <si>
    <t>WAWA 5205</t>
  </si>
  <si>
    <t>EARLOFSANDWICH</t>
  </si>
  <si>
    <t>UPS LONDON 5275</t>
  </si>
  <si>
    <t>KOMOKA KILWORTH HOME HA KOMOKA</t>
  </si>
  <si>
    <t>CAR EXPENSES</t>
  </si>
  <si>
    <t>CANADIAN TIRE #058      LONDON</t>
  </si>
  <si>
    <t>TIM HORTONS #0047</t>
  </si>
  <si>
    <t>CANVA* I04469-72280929</t>
  </si>
  <si>
    <t>LITTLE SHOP OF LOBSTERS ST CATHARINES</t>
  </si>
  <si>
    <t>SP CHANDLER HONEY       TORONTO</t>
  </si>
  <si>
    <t>HARVEYS 2547            BRANTFORD</t>
  </si>
  <si>
    <t>ONROUTE CAMBRIDGE N #11 CAMBRIDGE</t>
  </si>
  <si>
    <t>RENTALTOLL570920467     877-860-1283</t>
  </si>
  <si>
    <t>INTERNET</t>
  </si>
  <si>
    <t>1080 ENERCARE CENTRE</t>
  </si>
  <si>
    <t>YE OLDE FUDGE POT</t>
  </si>
  <si>
    <t>SP 1890 NATURAL BATH</t>
  </si>
  <si>
    <t>SP SHOP.BITZ</t>
  </si>
  <si>
    <t>SP DWN CRAFT CHOCOLA</t>
  </si>
  <si>
    <t>SP ICE GIRL CHAI</t>
  </si>
  <si>
    <t>SQ *PEPITO LE CHAT</t>
  </si>
  <si>
    <t>SQ *IMCH CONFECTIONS I</t>
  </si>
  <si>
    <t>SP PELA CASE            SALT LAKE CITY</t>
  </si>
  <si>
    <t>VALUE VILLAGE # 2026</t>
  </si>
  <si>
    <t>PB LONDON 3570          LONDON</t>
  </si>
  <si>
    <t>CHICK-FIL-A WHARNCLIFFE LONDON</t>
  </si>
  <si>
    <t>STARBUCKS 04674         LONDON</t>
  </si>
  <si>
    <t>SQ *THE COOP SUPPLY CO</t>
  </si>
  <si>
    <t>TMC PHARMACY 00-0803572 LONDON</t>
  </si>
  <si>
    <t>CAMEO                   CHICAGO</t>
  </si>
  <si>
    <t>LCBO/RAO #0192 LONDON   LONDON</t>
  </si>
  <si>
    <t>AIRBNB * HMHR93935P     LONDON</t>
  </si>
  <si>
    <t>62052 MACS CONV. STORES MITCHELL</t>
  </si>
  <si>
    <t>ULTRAMAR #52058 ULTRAMA LONDON</t>
  </si>
  <si>
    <t>WAL-MART CANADA 1160 11 LISTOWEL</t>
  </si>
  <si>
    <t>ENTERPRISE CANADA C102  LONDON</t>
  </si>
  <si>
    <t>SP CHIMERA GAMING 0195  KITCHENER</t>
  </si>
  <si>
    <t>UBER* ONE</t>
  </si>
  <si>
    <t>Etsy.com*Multiple Shop</t>
  </si>
  <si>
    <t>SP TENTREE              VANCOUVER</t>
  </si>
  <si>
    <t>SP JUST PROATS</t>
  </si>
  <si>
    <t>SP LONDON MAJORS BAS    LONDON</t>
  </si>
  <si>
    <t>SHOPPERS DRUG MART 732  LONDON</t>
  </si>
  <si>
    <t>AMZN MKTP CA*MF2B184A3  WWW.AMAZON.CA</t>
  </si>
  <si>
    <t>WESTERN GAS PLUS 0329   LONDON</t>
  </si>
  <si>
    <t>CANADIAN TIRE #130      LONDON</t>
  </si>
  <si>
    <t>PUPUSERIA ROSAS LATI    MISSISSAUGA</t>
  </si>
  <si>
    <t>HEEMAN STRAWBERRIES</t>
  </si>
  <si>
    <t>AUTOSTRADA INC.         LONDON</t>
  </si>
  <si>
    <t>MARSHALLS 716           LONDON</t>
  </si>
  <si>
    <t>WINNERS 413             LONDON</t>
  </si>
  <si>
    <t>SCADDABUSH LONDON       LONDON</t>
  </si>
  <si>
    <t>AMZN MKTP CA*8Z3PT9IS3  WWW.AMAZON.CA</t>
  </si>
  <si>
    <t>SGT*stylixApp</t>
  </si>
  <si>
    <t>64071 MACS CONV. STORES LONDON</t>
  </si>
  <si>
    <t>WDW WDTC PACKAGE        LAKE BUENA VI</t>
  </si>
  <si>
    <t>TST-Merla-Mae Ice Crea</t>
  </si>
  <si>
    <t>AMZN MKTP CA*US7090UZ3  WWW.AMAZON.CA</t>
  </si>
  <si>
    <t>QDOBA MEXICAN EATS      519-204-8676</t>
  </si>
  <si>
    <t>TOYOTA TOWN             LONDON</t>
  </si>
  <si>
    <t>SQ *SIDETRACK: A WORTLEY</t>
  </si>
  <si>
    <t>VALUE BUDS WHARNCLIFFE</t>
  </si>
  <si>
    <t>MIT - MEDICAL INVESTMENT</t>
  </si>
  <si>
    <t>A&amp;W CANADA</t>
  </si>
  <si>
    <t>HEEMANS</t>
  </si>
  <si>
    <t>TST-Tahinis - 1927 We</t>
  </si>
  <si>
    <t>LONDON BIN RENTALS INC</t>
  </si>
  <si>
    <t>PIZZA HUT R12102</t>
  </si>
  <si>
    <t>SQ *GOOD GRIEF COFFEE ROA</t>
  </si>
  <si>
    <t>CARA GIFT CARDS    QPS</t>
  </si>
  <si>
    <t>MR. LUBE</t>
  </si>
  <si>
    <t>JS RYAN  CO</t>
  </si>
  <si>
    <t>START CA</t>
  </si>
  <si>
    <t>ARBY'S 2086</t>
  </si>
  <si>
    <t>THE SKYLINE RESTAURANT IN</t>
  </si>
  <si>
    <t>PIONEER 43368 PIONEER 4 LONDON</t>
  </si>
  <si>
    <t>EASTSIDE MARIOS</t>
  </si>
  <si>
    <t>CINEPLEX #7112     QP   LONDON</t>
  </si>
  <si>
    <t>CINEPLEX ENTERTAINME    416-323-6600</t>
  </si>
  <si>
    <t>CANVA* I04500-77300340</t>
  </si>
  <si>
    <t>SEATED.COM - TICK* PUP  BROOKLYN</t>
  </si>
  <si>
    <t>TIMBERRIDGEGOLF.NET     BRIGHTON</t>
  </si>
  <si>
    <t>VIA RAIL/Q68CBY         MONTREAL</t>
  </si>
  <si>
    <t>GRNHRZNSODBIGYELLOWBAG</t>
  </si>
  <si>
    <t>COMPANY BAR             LONDON</t>
  </si>
  <si>
    <t>J.S. RYAN &amp; CO</t>
  </si>
  <si>
    <t>LONDON BREWING          London</t>
  </si>
  <si>
    <t>MOORES CLOTHING 0014    LONDON</t>
  </si>
  <si>
    <t>SP CHIMERA GAMING 9492  KITCHENER</t>
  </si>
  <si>
    <t>FIVE POINTS FAMILY HEA</t>
  </si>
  <si>
    <t>HOTBLACK COFFEE         Toronto</t>
  </si>
  <si>
    <t>VIA RAIL CANADA INC     MONTREAL</t>
  </si>
  <si>
    <t>SP REFINED FOOL BREW    SARNIA</t>
  </si>
  <si>
    <t>LONDON MUSIC HALL 001   LONDON</t>
  </si>
  <si>
    <t>THE COOP SUPPLY CO. PIC London</t>
  </si>
  <si>
    <t>PRX*Through Thick &amp; Thin</t>
  </si>
  <si>
    <t>Old Country Inn         UNIONVILLE</t>
  </si>
  <si>
    <t>ONROUTE WOODSTOCK W #1164</t>
  </si>
  <si>
    <t>ONROUTE</t>
  </si>
  <si>
    <t>JM 101001               MISSISSAUGA</t>
  </si>
  <si>
    <t>STARBUCKS 67425 STARBUC LONDON</t>
  </si>
  <si>
    <t>COSTCO WHOLESALE #1619</t>
  </si>
  <si>
    <t>ACTITECH LIMITED        LIMASSOL</t>
  </si>
  <si>
    <t>DOLLARAMA # 608</t>
  </si>
  <si>
    <t>SP ODDBUNCH             LONDON</t>
  </si>
  <si>
    <t>MIKADO SUSHI &amp; THAI CUISI</t>
  </si>
  <si>
    <t>FOOD BASICS  675</t>
  </si>
  <si>
    <t>SHELL C02231            LONDON</t>
  </si>
  <si>
    <t>VIDYARD* TRIAL OVER     KITCHENER</t>
  </si>
  <si>
    <t>GOOGLE *Google One</t>
  </si>
  <si>
    <t>WDW EXP RESERVATION</t>
  </si>
  <si>
    <t>AMZN MKTP CA*NN8EQ01C2  WWW.AMAZON.CA</t>
  </si>
  <si>
    <t>LOCOMOTIVE ESPRESSO SOU London</t>
  </si>
  <si>
    <t>CANVA* I04530-73843536</t>
  </si>
  <si>
    <t>ANC*ANCESTRY.CA</t>
  </si>
  <si>
    <t>BLD* FLEXJOBS.COM</t>
  </si>
  <si>
    <t>PEARSON PARKING RESERVE TORONTO</t>
  </si>
  <si>
    <t>DISNEY PLUS SUB</t>
  </si>
  <si>
    <t>ULTRAMAR #42441 ULTRAMA WHITBY</t>
  </si>
  <si>
    <t>DISNEY PLUS DISNEY PLUS UNITED STATES</t>
  </si>
  <si>
    <t>LS TIMBER RIDGE GOLF C  BRIGHTON</t>
  </si>
  <si>
    <t>TIMBER RIDGE GOLF COUR  BRIGHTON</t>
  </si>
  <si>
    <t>UBER* EATS</t>
  </si>
  <si>
    <t>HAMLET GROCERY</t>
  </si>
  <si>
    <t>WAL-MART 3178 3178      TRENTON</t>
  </si>
  <si>
    <t>AMZN MKTP CA*NO7HE4JH1  WWW.AMAZON.CA</t>
  </si>
  <si>
    <t>BURGER'S PRIEST 3721E   LONDON</t>
  </si>
  <si>
    <t>CAPITAL ONE MEMBER FEE</t>
  </si>
  <si>
    <t>GROUND NEWS             KITCHENER</t>
  </si>
  <si>
    <t>LES MILLS</t>
  </si>
  <si>
    <t>SHELL C02231</t>
  </si>
  <si>
    <t>HALLMARK CARDS</t>
  </si>
  <si>
    <t>APPLE STORE #R489</t>
  </si>
  <si>
    <t>MICHAELS #3622</t>
  </si>
  <si>
    <t>Lush Masonville Place</t>
  </si>
  <si>
    <t>THROUGH THICK &amp; THIN</t>
  </si>
  <si>
    <t>SP DESIGNATEDDRINKS     LONDON</t>
  </si>
  <si>
    <t>CANADIAN TIRE GAS BAR #16</t>
  </si>
  <si>
    <t>WAT MEDICAL ENTERPRISE</t>
  </si>
  <si>
    <t>DAIRY QUEEN #11990</t>
  </si>
  <si>
    <t>AMAZON.CA*NH7NQ3F40     AMAZON.CA</t>
  </si>
  <si>
    <t>PRIMEVIDEO.C*N63H34ZZ0  WWW.AMAZON.CA</t>
  </si>
  <si>
    <t>SP FANSHAWE GOLF COACH  DORCHESTER</t>
  </si>
  <si>
    <t>LUX 212559050           LONDON</t>
  </si>
  <si>
    <t>COL - E-PARKING</t>
  </si>
  <si>
    <t>WDW THE MARA            LAKE BUENA VI</t>
  </si>
  <si>
    <t>WDW SATU'LI CANTEEN     LAKE BUENA VI</t>
  </si>
  <si>
    <t>WDW WORLD OF DISNEY     LAKE BUENA VI</t>
  </si>
  <si>
    <t>FUELROD 0202            DEL MAR</t>
  </si>
  <si>
    <t>WDW PECOS BILL'S CA     LAKE BUENA VI</t>
  </si>
  <si>
    <t>WDW SLEEPY HOLLOW       LAKE BUENA VI</t>
  </si>
  <si>
    <t>LS TRAVEL RETAIL NORTH  OTTAWA</t>
  </si>
  <si>
    <t>PLAYSTATIONNETWORK      877-971-7669</t>
  </si>
  <si>
    <t>TIM HORTONS #4130       WOODSTOCK</t>
  </si>
  <si>
    <t>WDW WOODY'S LUNCH B     LAKE BUENA VI</t>
  </si>
  <si>
    <t>PET VALU #2027          LONDON</t>
  </si>
  <si>
    <t>BANK BAO</t>
  </si>
  <si>
    <t>BANK BAO 001            TORONTO</t>
  </si>
  <si>
    <t>BLOOD BROTHERS BREWING  TORONTO</t>
  </si>
  <si>
    <t>GENUWINE IMPORTS</t>
  </si>
  <si>
    <t>GENUWINE IMPORTS        Toronto</t>
  </si>
  <si>
    <t>RURU BAKED INC 001      TORONTO</t>
  </si>
  <si>
    <t>TRANSFER FROM INSTALLMENT PROGRAM</t>
  </si>
  <si>
    <t>CINEPLEX #8030 WEB QP   TORONTO</t>
  </si>
  <si>
    <t>FAMOUS PLAYER #7422QP   LONDON</t>
  </si>
  <si>
    <t>Nexus Statement Credit</t>
  </si>
  <si>
    <t>USCUSTOMS TRUSTEDTRAVEL INDIANAPOLIS</t>
  </si>
  <si>
    <t>ROVER.COM* PET SVCS.    LONDON</t>
  </si>
  <si>
    <t>FIVE GUYS BURGERS &amp;     519-660-0008</t>
  </si>
  <si>
    <t>CINEPLEX CINECLUB       416-323-6600</t>
  </si>
  <si>
    <t>IMPARK00130031U         LONDON</t>
  </si>
  <si>
    <t>INSTALLMENT PLAN</t>
  </si>
  <si>
    <t>TIM HORTONS #4781       CAMBRIDGE</t>
  </si>
  <si>
    <t>WENDYS 114              LONDON</t>
  </si>
  <si>
    <t>AMZN Mktp CA*8Q8WL4NC3</t>
  </si>
  <si>
    <t>Amazon Channels</t>
  </si>
  <si>
    <t>SESSIONS CANNABIS - DOON</t>
  </si>
  <si>
    <t>AC ROUGE ON BOARD CAFE</t>
  </si>
  <si>
    <t>MAGPIES COLLECTED CREATIO</t>
  </si>
  <si>
    <t>HEROES CARDS &amp; COMICS</t>
  </si>
  <si>
    <t>GEN REGISTER OFFICE</t>
  </si>
  <si>
    <t>SECURITY NATIONAL INSU  MONTREAL</t>
  </si>
  <si>
    <t>BUILD A BOWL EAST       London</t>
  </si>
  <si>
    <t>PETRO-CANADA 65077      WOODSTOCK</t>
  </si>
  <si>
    <t>ULTRAMAR # 42221 ULTRAM KARS</t>
  </si>
  <si>
    <t>KEMPTVILLE BREWING CO.  Kemptville</t>
  </si>
  <si>
    <t>ONROUTE                 PORT HOPE</t>
  </si>
  <si>
    <t>STARBUCKS               ODESSA</t>
  </si>
  <si>
    <t>STRATHMERE - HOTEL 1129 NORTH GOWER</t>
  </si>
  <si>
    <t>SHOPPERS DRUG MART #114 LONDON</t>
  </si>
  <si>
    <t>Amazon.ca*KC5GL7523</t>
  </si>
  <si>
    <t>TD LIFE INSURANCE</t>
  </si>
  <si>
    <t>MARY BROWN'S</t>
  </si>
  <si>
    <t>ROVER.COM* PET SVCS.</t>
  </si>
  <si>
    <t>TIM HORTONS #101518</t>
  </si>
  <si>
    <t>TIM HORTONS #8506</t>
  </si>
  <si>
    <t>W.O. STINSON &amp; SONS</t>
  </si>
  <si>
    <t>McDonalds 40336</t>
  </si>
  <si>
    <t>SPIRITLEAF KEMPTVILLE</t>
  </si>
  <si>
    <t>MEMBERSHIP FEE INSTALLMENT</t>
  </si>
  <si>
    <t>LONDON OK MART 001      LONDON</t>
  </si>
  <si>
    <t>CANADIAN TIRE GAS BAR # PARRY SOUND</t>
  </si>
  <si>
    <t>TIM HORTONS #270        PARRY SOUND</t>
  </si>
  <si>
    <t>PIONEER # 352 PIONEER # LISTOWEL</t>
  </si>
  <si>
    <t>SHELL C22486            STAYNER</t>
  </si>
  <si>
    <t>THE OLD SOUTH VILLAGE P LONDON</t>
  </si>
  <si>
    <t>ANNUAL FEE</t>
  </si>
  <si>
    <t>MITCH &amp; ALANA'S NO FRI</t>
  </si>
  <si>
    <t>VET BILLS</t>
  </si>
  <si>
    <t>FLAMINGO CAR WASH</t>
  </si>
  <si>
    <t>TIM HORTONS #104782</t>
  </si>
  <si>
    <t>CDNCANCERSOC-FRUP</t>
  </si>
  <si>
    <t>ODD BURGER RESTAURANTS</t>
  </si>
  <si>
    <t>MPBSDP- SO BIRTH/OTHER</t>
  </si>
  <si>
    <t>STEAMGAMES.COM 4259522985</t>
  </si>
  <si>
    <t>ACTIVE WELLNESS 2103841 LONDON</t>
  </si>
  <si>
    <t>LONDON CURLING CLUB 00- LONDON</t>
  </si>
  <si>
    <t>FRESHCO #3854 LONDON    LONDON</t>
  </si>
  <si>
    <t>SP LA MOOD COMICS &amp;     LONDON</t>
  </si>
  <si>
    <t>SWISS CHALET #1135      LONDON</t>
  </si>
  <si>
    <t>SP THEMYTHICSTORE       QUEBEC</t>
  </si>
  <si>
    <t>JEFE TACOS              London</t>
  </si>
  <si>
    <t>MARSHALLS/HOMESENSE     LONDON</t>
  </si>
  <si>
    <t>MCDONALD'S #4040        LONDON</t>
  </si>
  <si>
    <t>RONA+ N.W. LONDON 8264  LONDON</t>
  </si>
  <si>
    <t>STEREO CALIENTE ENTERTA LONDON</t>
  </si>
  <si>
    <t>SUNRIPE HYDE PARK       LONDON</t>
  </si>
  <si>
    <t>TROPIKUPS 213502521     LONDON</t>
  </si>
  <si>
    <t>CAGNEY'S STEAKHOUSE &amp; W Mississauga</t>
  </si>
  <si>
    <t>PETRO-CANADA 30581      CAMBRIDGE</t>
  </si>
  <si>
    <t>FORKED RIVER BREWING C  LONDON</t>
  </si>
  <si>
    <t>PETRO-CANADA 33485      LONDON</t>
  </si>
  <si>
    <t>VANLUYK GARDEN CENTRE</t>
  </si>
  <si>
    <t>GERMAN CANADIAN CLUB</t>
  </si>
  <si>
    <t>BAM*MY ROTI PLACE/MY DOSA</t>
  </si>
  <si>
    <t>LCBO/RAO #0575</t>
  </si>
  <si>
    <t>SHOPPERS DRUG MART #76</t>
  </si>
  <si>
    <t>Pay Balance with Points</t>
  </si>
  <si>
    <t>ENERGY WERX WINDSOR/LON London</t>
  </si>
  <si>
    <t>6622117 - OAKLAND CLUBH OAKLAND</t>
  </si>
  <si>
    <t>BT*WAYMO                MOUNTAIN VIEW</t>
  </si>
  <si>
    <t>HUDSON ST2171 HUDSON ST CALGARY</t>
  </si>
  <si>
    <t>HUDSONNEWS ST1110 1110  SEATAC</t>
  </si>
  <si>
    <t>LITTLE MAIN STREET OA 1 OAKLAND</t>
  </si>
  <si>
    <t>SP SUB POP 3425         SEATTLE</t>
  </si>
  <si>
    <t>TACOS MEXICO MEMORIAL 0 CALGARY</t>
  </si>
  <si>
    <t>NORTHSTAR CAFE 22100000 415-3970577</t>
  </si>
  <si>
    <t>TST* LATIN AMERICAN CLU SAN FRANCISCO</t>
  </si>
  <si>
    <t>TST* SHUGGIES TRASH PIE SAN FRANCISCO</t>
  </si>
  <si>
    <t>7271115 - BELGIAN BEER  CALGARY</t>
  </si>
  <si>
    <t>SALTYS AT THE SEA       SEATAC</t>
  </si>
  <si>
    <t>SQ *CASH BY CASH APP</t>
  </si>
  <si>
    <t>TELUS PRE-AUTH PAYMENT</t>
  </si>
  <si>
    <t>McDonalds 1501</t>
  </si>
  <si>
    <t>WENDYS 6101</t>
  </si>
  <si>
    <t>BARBURRITO FRESH MEXICAN</t>
  </si>
  <si>
    <t>AC BISTRO STMT CREDIT</t>
  </si>
  <si>
    <t>10 Oct 2025</t>
  </si>
  <si>
    <t>SP GUESSWHERETRIPS      LONDON</t>
  </si>
  <si>
    <t>08 Oct 2025</t>
  </si>
  <si>
    <t>05 Oct 2025</t>
  </si>
  <si>
    <t>06 Oct 2025</t>
  </si>
  <si>
    <t>04 Oct 2025</t>
  </si>
  <si>
    <t>ESSO CIRCLE K 0325      LONDON</t>
  </si>
  <si>
    <t>03 Oct 2025</t>
  </si>
  <si>
    <t>01 Oct 2025</t>
  </si>
  <si>
    <t>02 Oct 2025</t>
  </si>
  <si>
    <t>SP VRESH FOODS          CALGARY</t>
  </si>
  <si>
    <t>30 Oct 2025</t>
  </si>
  <si>
    <t>31 Oct 2025</t>
  </si>
  <si>
    <t>28 Oct 2025</t>
  </si>
  <si>
    <t>29 Oct 2025</t>
  </si>
  <si>
    <t>27 Oct 2025</t>
  </si>
  <si>
    <t>AL PANINOS 001          LONDON</t>
  </si>
  <si>
    <t>26 Oct 2025</t>
  </si>
  <si>
    <t>ANDERSON CRAFT ALES 208 LONDON</t>
  </si>
  <si>
    <t>25 Oct 2025</t>
  </si>
  <si>
    <t>BAM*MY ROTI PLACE/MY DO ALLISTON</t>
  </si>
  <si>
    <t>BEERLAB!                LONDON</t>
  </si>
  <si>
    <t>VIA RAIL/HT7631         MONTREAL</t>
  </si>
  <si>
    <t>24 Oct 2025</t>
  </si>
  <si>
    <t>21 Oct 2025</t>
  </si>
  <si>
    <t>22 Oct 2025</t>
  </si>
  <si>
    <t>20 Oct 2025</t>
  </si>
  <si>
    <t>19 Oct 2025</t>
  </si>
  <si>
    <t>18 Oct 2025</t>
  </si>
  <si>
    <t>17 Oct 2025</t>
  </si>
  <si>
    <t>16 Oct 2025</t>
  </si>
  <si>
    <t>15 Oct 2025</t>
  </si>
  <si>
    <t>14 Oct 2025</t>
  </si>
  <si>
    <t>12 Oct 2025</t>
  </si>
  <si>
    <t>11 Oct 2025</t>
  </si>
  <si>
    <t>PETRO-CANADA 48448      LONDON</t>
  </si>
  <si>
    <t>Amazon.ca*NU7VG9Q51</t>
  </si>
  <si>
    <t>LONDON CURLING CLUB</t>
  </si>
  <si>
    <t>Amazon.ca*NU6KE1ZE0</t>
  </si>
  <si>
    <t>AMZN Mktp CA*NM8B125T1</t>
  </si>
  <si>
    <t>NAYAX CANADA INC MASTER</t>
  </si>
  <si>
    <t>AMZN Mktp CA*NF4M44771</t>
  </si>
  <si>
    <t>TIM HORTONS #104130</t>
  </si>
  <si>
    <t>C/O OXFORD TRUCK STOP</t>
  </si>
  <si>
    <t>GOLDLINE CURLING (LONDON)</t>
  </si>
  <si>
    <t>OLDE LONDON FISH AND C</t>
  </si>
  <si>
    <t>REXALL PHARMACY #1768</t>
  </si>
  <si>
    <t>WDW TICKETS</t>
  </si>
  <si>
    <t>PrimeVideo.c*NV0J56KY2</t>
  </si>
  <si>
    <t>WWW.PERPLEXITY.AI</t>
  </si>
  <si>
    <t>THE STARLIGHT STRATFOR</t>
  </si>
  <si>
    <t>SHOPPERS DRUG MART #11</t>
  </si>
  <si>
    <t>ARMY NAVY AND AIR FORC</t>
  </si>
  <si>
    <t>WWW.MARKS.COM</t>
  </si>
  <si>
    <t>DOWELL EQUIPMENT SERVI</t>
  </si>
  <si>
    <t>CINEPLEX 7112     QPS</t>
  </si>
  <si>
    <t>Amazon.ca*NK8HM8LQ0</t>
  </si>
  <si>
    <t>AMZN Mktp CA*NK1FE9ZD0</t>
  </si>
  <si>
    <t>FOREST OF FLOWERS</t>
  </si>
  <si>
    <t>LONDON MUSIC HALL</t>
  </si>
  <si>
    <t>SPOTHERO 844-356-8054</t>
  </si>
  <si>
    <t>10 Nov 2025</t>
  </si>
  <si>
    <t>JERSEY MIKES' SUBS      KITCHENER</t>
  </si>
  <si>
    <t>08 Nov 2025</t>
  </si>
  <si>
    <t>09 Nov 2025</t>
  </si>
  <si>
    <t>RONA+ S.W. LONDON 8306  LONDON</t>
  </si>
  <si>
    <t>SP MTERVODESIGN         SHERIDAN</t>
  </si>
  <si>
    <t>U-HAUL MOVING &amp; STORA   LONDON</t>
  </si>
  <si>
    <t>07 Nov 2025</t>
  </si>
  <si>
    <t>DELIVERY</t>
  </si>
  <si>
    <t>06 Nov 2025</t>
  </si>
  <si>
    <t>05 Nov 2025</t>
  </si>
  <si>
    <t>04 Nov 2025</t>
  </si>
  <si>
    <t>PETRO-CANADA 00396      LONDON</t>
  </si>
  <si>
    <t>THE HOME DEPOT #7237    LONDON</t>
  </si>
  <si>
    <t>02 Nov 2025</t>
  </si>
  <si>
    <t>CA.CALLIE.COM           LAS VEGAS</t>
  </si>
  <si>
    <t>03 Nov 2025</t>
  </si>
  <si>
    <t>SP GABRIEL VANCOUVER    VENLO</t>
  </si>
  <si>
    <t>TST-100 KELLOGG LANE -  LONDON</t>
  </si>
  <si>
    <t>LCBO/RAO #0381 KITCHENE KITCHENER</t>
  </si>
  <si>
    <t>01 Nov 2025</t>
  </si>
  <si>
    <t>30 Nov 2025</t>
  </si>
  <si>
    <t>01 Dec 2025</t>
  </si>
  <si>
    <t>29 Nov 2025</t>
  </si>
  <si>
    <t>27 Nov 2025</t>
  </si>
  <si>
    <t>28 Nov 2025</t>
  </si>
  <si>
    <t>MR. LUBE 223            LONDON</t>
  </si>
  <si>
    <t>26 Nov 2025</t>
  </si>
  <si>
    <t>22 Nov 2025</t>
  </si>
  <si>
    <t>20 Nov 2025</t>
  </si>
  <si>
    <t>18 Nov 2025</t>
  </si>
  <si>
    <t>19 Nov 2025</t>
  </si>
  <si>
    <t>16 Nov 2025</t>
  </si>
  <si>
    <t>BAGELS ON FIRE ON QUEEN Toronto</t>
  </si>
  <si>
    <t>17 Nov 2025</t>
  </si>
  <si>
    <t>GOLDSTRUCK COFFEE 28228 Toronto</t>
  </si>
  <si>
    <t>LE GOURMAND CAFE        Toronto</t>
  </si>
  <si>
    <t>MIZZICA GELATERIA &amp; CAF Toronto</t>
  </si>
  <si>
    <t>HILTON TORONTO HILTON T TORONTO</t>
  </si>
  <si>
    <t>15 Nov 2025</t>
  </si>
  <si>
    <t>14 Nov 2025</t>
  </si>
  <si>
    <t>13 Nov 2025</t>
  </si>
  <si>
    <t>12 Nov 2025</t>
  </si>
  <si>
    <t>11 Nov 2025</t>
  </si>
  <si>
    <t>FAMOUS FLOWER CANNABIS CO</t>
  </si>
  <si>
    <t>CRATE AND BARREL CANADA I</t>
  </si>
  <si>
    <t>SP BLUEJAYS5050</t>
  </si>
  <si>
    <t>AMZN Mktp CA*BB6134MP1</t>
  </si>
  <si>
    <t>SESSIONS CANNABIS S LOND</t>
  </si>
  <si>
    <t>COCINA LA MICHOACANA</t>
  </si>
  <si>
    <t>Amazon.ca*B22QF5D02</t>
  </si>
  <si>
    <t>AMZN Mktp CA*B271P5ED0</t>
  </si>
  <si>
    <t>OLD BAGEL HOUSE</t>
  </si>
  <si>
    <t>Shelbys</t>
  </si>
  <si>
    <t>Amazon.ca*B24WN9G82</t>
  </si>
  <si>
    <t>10 Dec 2025</t>
  </si>
  <si>
    <t>09 Dec 2025</t>
  </si>
  <si>
    <t>NICKEL BROOK BREWING CO Burlington</t>
  </si>
  <si>
    <t>SP CALENDARCLUB.CA      PARIS</t>
  </si>
  <si>
    <t>07 Dec 2025</t>
  </si>
  <si>
    <t>SP E-UP GAMES           LONDON</t>
  </si>
  <si>
    <t>06 Dec 2025</t>
  </si>
  <si>
    <t>DOUBLETREE BY HILTON TO TORONTO</t>
  </si>
  <si>
    <t>04 Dec 2025</t>
  </si>
  <si>
    <t>AZGA SERVICE CANADA INC CAMBRIDGE</t>
  </si>
  <si>
    <t>CRAIG'S COOKIES         Toronto</t>
  </si>
  <si>
    <t>FORNO CULTURA           Toronto</t>
  </si>
  <si>
    <t>HOOKED INC              Toronto</t>
  </si>
  <si>
    <t>PRESTO FARE/QL5HTLGQHV  TORONTO</t>
  </si>
  <si>
    <t>TICKETMASTER CANADA HOS TORONTO</t>
  </si>
  <si>
    <t>03 Dec 2025</t>
  </si>
  <si>
    <t>Amazon.ca*116U44153</t>
  </si>
  <si>
    <t>PIONEER 43368</t>
  </si>
  <si>
    <t>Amazon.ca*344FU4WG3</t>
  </si>
  <si>
    <t>AMZN Mktp CA*7Y2933353</t>
  </si>
  <si>
    <t>Amazon.ca*UX1CV9GZ3</t>
  </si>
  <si>
    <t>Amazon.ca*9S59D6OR3</t>
  </si>
  <si>
    <t>BEST BUY.CA # 900</t>
  </si>
  <si>
    <t>SQ *MASA DELI</t>
  </si>
  <si>
    <t>APPLE.COM/CA</t>
  </si>
  <si>
    <t>Month:</t>
  </si>
  <si>
    <t>Income:</t>
  </si>
  <si>
    <t>Matt Comm</t>
  </si>
  <si>
    <t>Subtotal:</t>
  </si>
  <si>
    <t>Shared Expenses:</t>
  </si>
  <si>
    <t>Reliance (Water Heater)</t>
  </si>
  <si>
    <t>Home Security</t>
  </si>
  <si>
    <t>Cell Phones</t>
  </si>
  <si>
    <t>Enbridge</t>
  </si>
  <si>
    <t>London Hydro</t>
  </si>
  <si>
    <t>Shared Savings (25%)</t>
  </si>
  <si>
    <t>Sub</t>
  </si>
  <si>
    <t>Deposit to Personal Accts</t>
  </si>
  <si>
    <t>Other Stuff</t>
  </si>
  <si>
    <t>AMEX Bill</t>
  </si>
  <si>
    <t>VISA Bill</t>
  </si>
  <si>
    <t>MASTER</t>
  </si>
  <si>
    <t>Due</t>
  </si>
  <si>
    <t>PAID</t>
  </si>
  <si>
    <t>Home + Life</t>
  </si>
  <si>
    <t>Doors</t>
  </si>
  <si>
    <t>Car Payments</t>
  </si>
  <si>
    <t>TOTAL Expenses:</t>
  </si>
  <si>
    <t>June</t>
  </si>
  <si>
    <t>July</t>
  </si>
  <si>
    <t>Sept</t>
  </si>
  <si>
    <t>Home Depot</t>
  </si>
  <si>
    <t>Mandatory Savings</t>
  </si>
  <si>
    <t>Range Oven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</si>
</sst>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&quot;$&quot;* #,##0.00_);_(&quot;$&quot;* \(#,##0.00\);_(&quot;$&quot;* &quot;-&quot;??_);_(@_)"/>
    <numFmt numFmtId="165" formatCode="&quot;$&quot;#,##0.00"/>
    <numFmt numFmtId="166" formatCode="mmm yyyy"/>
    <numFmt numFmtId="167" formatCode="d mmm yyyy"/>
    <numFmt numFmtId="168" formatCode="yyyy-mm-dd"/>
    <numFmt numFmtId="169" formatCode="dd mmm yyyy"/>
    <numFmt numFmtId="170" formatCode="mm/dd/yyyy"/>
    <numFmt numFmtId="171" formatCode="dd mmmm yyyy"/>
    <numFmt numFmtId="172" formatCode="d mmmm yyyy"/>
    <numFmt numFmtId="173" formatCode="m/d/yyyy"/>
    <numFmt numFmtId="174" formatCode="mmm d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i/>
      <color theme="1"/>
      <name val="Arial"/>
    </font>
    <font>
      <color theme="1"/>
      <name val="Arial"/>
    </font>
    <font>
      <b/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color rgb="FF353535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2" numFmtId="164" xfId="0" applyFont="1" applyNumberForma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4" numFmtId="167" xfId="0" applyAlignment="1" applyFont="1" applyNumberFormat="1">
      <alignment horizontal="right" vertical="bottom"/>
    </xf>
    <xf borderId="0" fillId="0" fontId="2" numFmtId="0" xfId="0" applyFont="1"/>
    <xf borderId="0" fillId="0" fontId="6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168" xfId="0" applyAlignment="1" applyFont="1" applyNumberFormat="1">
      <alignment horizontal="right" vertical="bottom"/>
    </xf>
    <xf borderId="0" fillId="0" fontId="4" numFmtId="169" xfId="0" applyAlignment="1" applyFont="1" applyNumberFormat="1">
      <alignment horizontal="right" vertical="bottom"/>
    </xf>
    <xf borderId="0" fillId="0" fontId="4" numFmtId="170" xfId="0" applyAlignment="1" applyFont="1" applyNumberFormat="1">
      <alignment horizontal="right" vertical="bottom"/>
    </xf>
    <xf borderId="0" fillId="0" fontId="4" numFmtId="171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4" numFmtId="172" xfId="0" applyAlignment="1" applyFont="1" applyNumberFormat="1">
      <alignment horizontal="right" vertical="bottom"/>
    </xf>
    <xf borderId="0" fillId="0" fontId="4" numFmtId="173" xfId="0" applyAlignment="1" applyFont="1" applyNumberFormat="1">
      <alignment horizontal="right" vertical="bottom"/>
    </xf>
    <xf borderId="0" fillId="0" fontId="2" numFmtId="170" xfId="0" applyFont="1" applyNumberFormat="1"/>
    <xf borderId="0" fillId="0" fontId="4" numFmtId="174" xfId="0" applyAlignment="1" applyFont="1" applyNumberFormat="1">
      <alignment vertical="bottom"/>
    </xf>
    <xf borderId="0" fillId="0" fontId="4" numFmtId="165" xfId="0" applyAlignment="1" applyFont="1" applyNumberFormat="1">
      <alignment horizontal="right" readingOrder="0" vertical="bottom"/>
    </xf>
    <xf borderId="0" fillId="0" fontId="4" numFmtId="9" xfId="0" applyAlignment="1" applyFont="1" applyNumberFormat="1">
      <alignment vertical="bottom"/>
    </xf>
    <xf borderId="0" fillId="0" fontId="4" numFmtId="9" xfId="0" applyAlignment="1" applyFont="1" applyNumberFormat="1">
      <alignment horizontal="right" vertical="bottom"/>
    </xf>
    <xf borderId="0" fillId="0" fontId="8" numFmtId="165" xfId="0" applyAlignment="1" applyFont="1" applyNumberFormat="1">
      <alignment horizontal="right" readingOrder="0" vertical="bottom"/>
    </xf>
    <xf borderId="0" fillId="0" fontId="8" numFmtId="164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4" numFmtId="174" xfId="0" applyAlignment="1" applyFont="1" applyNumberFormat="1">
      <alignment horizontal="right" readingOrder="0" vertical="bottom"/>
    </xf>
    <xf borderId="1" fillId="0" fontId="4" numFmtId="0" xfId="0" applyAlignment="1" applyBorder="1" applyFont="1">
      <alignment vertical="bottom"/>
    </xf>
    <xf borderId="0" fillId="0" fontId="4" numFmtId="165" xfId="0" applyAlignment="1" applyFont="1" applyNumberFormat="1">
      <alignment readingOrder="0" vertical="bottom"/>
    </xf>
    <xf borderId="0" fillId="0" fontId="4" numFmtId="165" xfId="0" applyAlignment="1" applyFont="1" applyNumberFormat="1">
      <alignment readingOrder="0" vertical="bottom"/>
    </xf>
    <xf borderId="0" fillId="0" fontId="5" numFmtId="165" xfId="0" applyFont="1" applyNumberFormat="1"/>
    <xf borderId="0" fillId="0" fontId="2" numFmtId="174" xfId="0" applyAlignment="1" applyFont="1" applyNumberFormat="1">
      <alignment readingOrder="0"/>
    </xf>
    <xf borderId="0" fillId="0" fontId="8" numFmtId="165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pivotCacheDefinition" Target="pivotCache/pivotCacheDefinition9.xml"/><Relationship Id="rId20" Type="http://schemas.openxmlformats.org/officeDocument/2006/relationships/worksheet" Target="worksheets/sheet16.xml"/><Relationship Id="rId42" Type="http://schemas.openxmlformats.org/officeDocument/2006/relationships/pivotCacheDefinition" Target="pivotCache/pivotCacheDefinition11.xml"/><Relationship Id="rId41" Type="http://schemas.openxmlformats.org/officeDocument/2006/relationships/pivotCacheDefinition" Target="pivotCache/pivotCacheDefinition10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43" Type="http://schemas.openxmlformats.org/officeDocument/2006/relationships/pivotCacheDefinition" Target="pivotCache/pivotCacheDefinition12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pivotCacheDefinition" Target="pivotCache/pivotCacheDefinition2.xml"/><Relationship Id="rId10" Type="http://schemas.openxmlformats.org/officeDocument/2006/relationships/worksheet" Target="worksheets/sheet6.xml"/><Relationship Id="rId32" Type="http://schemas.openxmlformats.org/officeDocument/2006/relationships/pivotCacheDefinition" Target="pivotCache/pivotCacheDefinition1.xml"/><Relationship Id="rId13" Type="http://schemas.openxmlformats.org/officeDocument/2006/relationships/worksheet" Target="worksheets/sheet9.xml"/><Relationship Id="rId35" Type="http://schemas.openxmlformats.org/officeDocument/2006/relationships/pivotCacheDefinition" Target="pivotCache/pivotCacheDefinition4.xml"/><Relationship Id="rId12" Type="http://schemas.openxmlformats.org/officeDocument/2006/relationships/worksheet" Target="worksheets/sheet8.xml"/><Relationship Id="rId34" Type="http://schemas.openxmlformats.org/officeDocument/2006/relationships/pivotCacheDefinition" Target="pivotCache/pivotCacheDefinition3.xml"/><Relationship Id="rId15" Type="http://schemas.openxmlformats.org/officeDocument/2006/relationships/worksheet" Target="worksheets/sheet11.xml"/><Relationship Id="rId37" Type="http://schemas.openxmlformats.org/officeDocument/2006/relationships/pivotCacheDefinition" Target="pivotCache/pivotCacheDefinition6.xml"/><Relationship Id="rId14" Type="http://schemas.openxmlformats.org/officeDocument/2006/relationships/worksheet" Target="worksheets/sheet10.xml"/><Relationship Id="rId36" Type="http://schemas.openxmlformats.org/officeDocument/2006/relationships/pivotCacheDefinition" Target="pivotCache/pivotCacheDefinition5.xml"/><Relationship Id="rId17" Type="http://schemas.openxmlformats.org/officeDocument/2006/relationships/worksheet" Target="worksheets/sheet13.xml"/><Relationship Id="rId39" Type="http://schemas.openxmlformats.org/officeDocument/2006/relationships/pivotCacheDefinition" Target="pivotCache/pivotCacheDefinition8.xml"/><Relationship Id="rId16" Type="http://schemas.openxmlformats.org/officeDocument/2006/relationships/worksheet" Target="worksheets/sheet12.xml"/><Relationship Id="rId38" Type="http://schemas.openxmlformats.org/officeDocument/2006/relationships/pivotCacheDefinition" Target="pivotCache/pivotCacheDefinition7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955" sheet="Jan-2025 (CC)"/>
  </cacheSource>
  <cacheFields>
    <cacheField name=" AMOUNT " numFmtId="164">
      <sharedItems containsString="0" containsBlank="1" containsNumber="1">
        <n v="96.89"/>
        <n v="64.94"/>
        <n v="20.22"/>
        <n v="72.5"/>
        <n v="59.9"/>
        <n v="118.64"/>
        <n v="32.64"/>
        <n v="11.29"/>
        <n v="-7.24"/>
        <n v="125.43"/>
        <n v="50.9"/>
        <n v="55.81"/>
        <n v="55.08"/>
        <n v="4.29"/>
        <n v="152.54"/>
        <n v="10.46"/>
        <n v="41.75"/>
        <n v="1689.35"/>
        <n v="7.35"/>
        <n v="158.2"/>
        <n v="25.0"/>
        <n v="39.55"/>
        <n v="13.32"/>
        <n v="65.99"/>
        <n v="45.19"/>
        <n v="113.76"/>
        <n v="20.0"/>
        <n v="95.67"/>
        <n v="106.29"/>
        <n v="34.25"/>
        <n v="97.93"/>
        <n v="16.94"/>
        <n v="12.42"/>
        <n v="63.26"/>
        <n v="4.51"/>
        <n v="29.48"/>
        <n v="23.72"/>
        <n v="82.81"/>
        <n v="58.75"/>
        <n v="11.06"/>
        <n v="95.1"/>
        <n v="67.33"/>
        <n v="179.96"/>
        <n v="39.64"/>
        <n v="26.97"/>
        <n v="41.69"/>
        <n v="80.56"/>
        <n v="48.88"/>
        <n v="96.96"/>
        <n v="49.24"/>
        <n v="64.5"/>
        <n v="50.0"/>
        <n v="50.31"/>
        <n v="7.9"/>
        <n v="10.16"/>
        <n v="1036.55"/>
        <n v="475.0"/>
        <n v="83.6"/>
        <n v="-3082.33"/>
        <n v="17.78"/>
        <n v="584.84"/>
        <n v="352.56"/>
        <n v="56.49"/>
        <n v="17.27"/>
        <n v="61.04"/>
        <n v="15.0"/>
        <n v="34.98"/>
        <n v="284.95"/>
        <n v="18.07"/>
        <n v="8.86"/>
        <n v="430.48"/>
        <n v="49.69"/>
        <n v="36.11"/>
        <n v="-7120.29"/>
        <n v="56.38"/>
        <n v="90.4"/>
        <n v="17.99"/>
        <n v="61.25"/>
        <n v="89.94"/>
        <n v="24.85"/>
        <n v="-214.69"/>
        <n v="2.99"/>
        <n v="75.0"/>
        <n v="19.0"/>
        <n v="547.04"/>
        <n v="24.0"/>
        <n v="76.0"/>
        <n v="57.83"/>
        <n v="200.0"/>
        <n v="14.68"/>
        <n v="8.25"/>
        <n v="139.89"/>
        <n v="42.78"/>
        <n v="13.55"/>
        <n v="33.89"/>
        <n v="105.64"/>
        <n v="331.02"/>
        <n v="20.64"/>
        <n v="31.28"/>
        <n v="4.52"/>
        <n v="-1197.36"/>
        <m/>
      </sharedItems>
    </cacheField>
    <cacheField name="CATEGORY" numFmtId="0">
      <sharedItems containsBlank="1">
        <s v="GROCERIES"/>
        <s v="DINE IN"/>
        <s v="SPOTIFY SUB"/>
        <s v="CANNABIS"/>
        <s v="PET FOOD/TOYS"/>
        <s v="HEALTH &amp; BEAUTY"/>
        <s v="PRIME VIDEO SUB"/>
        <s v="PAYMENT"/>
        <s v="DAY CARE"/>
        <s v="TAKE OUT"/>
        <s v="GAS"/>
        <s v="GIFTS"/>
        <s v="APPLE SUB"/>
        <s v="MISC"/>
        <s v="COFFEE"/>
        <s v="TELUS SECURITY"/>
        <s v="UBER"/>
        <s v="MOBILE"/>
        <s v="HOME"/>
        <s v="ENTERTAINMENT"/>
        <s v="NETFLIX"/>
        <s v="RELIANCE"/>
        <s v="CHARITY"/>
        <s v="TRAVEL"/>
        <s v="IPSY SUB"/>
        <s v="NEWSPAPERS"/>
        <s v="CANVA SUB"/>
        <s v="YOUTUBE SUB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967" sheet="Feb-2025 (CC)"/>
  </cacheSource>
  <cacheFields>
    <cacheField name="AMOUNT" numFmtId="164">
      <sharedItems containsString="0" containsBlank="1" containsNumber="1">
        <n v="3.0"/>
        <n v="19.61"/>
        <n v="38.14"/>
        <n v="41.23"/>
        <n v="20.22"/>
        <n v="125.43"/>
        <n v="100.0"/>
        <n v="31.39"/>
        <n v="2.92"/>
        <n v="242.93"/>
        <n v="15.3"/>
        <n v="18.48"/>
        <n v="33.89"/>
        <n v="56.47"/>
        <n v="42.54"/>
        <n v="30.51"/>
        <n v="16.94"/>
        <n v="57.06"/>
        <n v="76.62"/>
        <n v="103.95"/>
        <n v="10.52"/>
        <n v="24.45"/>
        <n v="39.55"/>
        <n v="56.49"/>
        <n v="68.62"/>
        <n v="71.0"/>
        <n v="22.2"/>
        <n v="27.7"/>
        <n v="31.44"/>
        <n v="163.66"/>
        <n v="2.26"/>
        <n v="14.68"/>
        <n v="45.19"/>
        <n v="17.07"/>
        <n v="84.58"/>
        <n v="34.83"/>
        <n v="30.0"/>
        <n v="23.72"/>
        <n v="242.23"/>
        <n v="1016.8"/>
        <n v="4.51"/>
        <n v="93.79"/>
        <n v="110.13"/>
        <n v="57.27"/>
        <n v="101.69"/>
        <n v="27.99"/>
        <n v="59.77"/>
        <n v="88.73"/>
        <n v="46.12"/>
        <n v="13.0"/>
        <n v="11.29"/>
        <n v="30.96"/>
        <n v="39.82"/>
        <n v="22.83"/>
        <n v="40.48"/>
        <n v="4.52"/>
        <n v="161.88"/>
        <n v="123.34"/>
        <n v="5.64"/>
        <n v="22.59"/>
        <n v="61.45"/>
        <n v="64.5"/>
        <n v="11.95"/>
        <n v="50.0"/>
        <n v="3.38"/>
        <n v="10.16"/>
        <n v="5.65"/>
        <n v="89.94"/>
        <n v="38.37"/>
        <n v="-1500.0"/>
        <n v="42.86"/>
        <n v="167.76"/>
        <n v="10.0"/>
        <n v="20.27"/>
        <n v="9.03"/>
        <n v="380.31"/>
        <n v="44.77"/>
        <n v="11.18"/>
        <n v="18.07"/>
        <n v="11.57"/>
        <n v="19.45"/>
        <n v="17.77"/>
        <n v="82.0"/>
        <n v="-859.07"/>
        <n v="22.02"/>
        <n v="17.97"/>
        <n v="153.15"/>
        <n v="211.95"/>
        <n v="24.85"/>
        <n v="19.51"/>
        <n v="60.65"/>
        <n v="19.0"/>
        <n v="85.13"/>
        <n v="40.18"/>
        <n v="49.1"/>
        <n v="36.11"/>
        <n v="23.09"/>
        <n v="121.23"/>
        <n v="23.5"/>
        <n v="59.81"/>
        <n v="12.54"/>
        <n v="53.32"/>
        <n v="20.0"/>
        <n v="170.12"/>
        <n v="15.81"/>
        <m/>
      </sharedItems>
    </cacheField>
    <cacheField name="CATEGORY" numFmtId="0">
      <sharedItems containsBlank="1">
        <s v="UBER"/>
        <s v="TAKE OUT"/>
        <s v="SPOTIFY SUB"/>
        <s v="DAY CARE"/>
        <s v="HEALTH &amp; BEAUTY"/>
        <s v="GROCERIES"/>
        <s v="CLOTHES"/>
        <s v="COFFEE"/>
        <s v="PRIME VIDEO SUB"/>
        <s v="PET FOOD/TOYS"/>
        <s v="TELUS SECURITY"/>
        <s v="APPLE SUB"/>
        <s v="CANNABIS"/>
        <s v="ENTERTAINMENT"/>
        <s v="NETFLIX"/>
        <s v="TRAVEL"/>
        <s v="NEWSPAPERS"/>
        <s v="MOBILE"/>
        <s v="GAS"/>
        <s v="RELIANCE"/>
        <s v="HOME"/>
        <s v="CHARITY"/>
        <s v="PAYMENT"/>
        <s v="GIFTS"/>
        <s v="VET BILL"/>
        <s v="IPSY SUB"/>
        <s v="DINE IN"/>
        <s v="INSURANCE"/>
        <s v="CANVA SUB"/>
        <s v="YOUTUBE SUB"/>
        <s v="MISC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900" sheet="Mar-2025 (CC)"/>
  </cacheSource>
  <cacheFields>
    <cacheField name="AMOUNT" numFmtId="164">
      <sharedItems containsString="0" containsBlank="1" containsNumber="1">
        <n v="20.22"/>
        <n v="41.81"/>
        <n v="65.1"/>
        <n v="64.0"/>
        <n v="156.14"/>
        <n v="10.45"/>
        <n v="190.3"/>
        <n v="65.47"/>
        <n v="26.34"/>
        <n v="18.42"/>
        <n v="10.0"/>
        <n v="22.76"/>
        <n v="35.03"/>
        <n v="71.35"/>
        <n v="2.59"/>
        <n v="170.0"/>
        <n v="1200.06"/>
        <n v="146.16"/>
        <n v="71.63"/>
        <n v="9.04"/>
        <n v="45.2"/>
        <n v="63.21"/>
        <n v="151.2"/>
        <n v="248.44"/>
        <n v="93.95"/>
        <n v="42.64"/>
        <n v="135.6"/>
        <n v="350.3"/>
        <n v="49.38"/>
        <n v="103.95"/>
        <n v="50.0"/>
        <n v="174.22"/>
        <n v="7.48"/>
        <n v="-1773.83"/>
        <n v="7.25"/>
        <n v="27.11"/>
        <n v="4.51"/>
        <n v="22.28"/>
        <n v="59.35"/>
        <n v="56.6"/>
        <n v="49.22"/>
        <n v="11.29"/>
        <n v="84.0"/>
        <n v="14.89"/>
        <n v="19.21"/>
        <n v="33.59"/>
        <n v="50.11"/>
        <n v="30.8"/>
        <n v="60.9"/>
        <n v="88.69"/>
        <n v="33.36"/>
        <n v="343.73"/>
        <n v="19.34"/>
        <n v="5.64"/>
        <n v="16.94"/>
        <n v="20.0"/>
        <n v="84.43"/>
        <n v="7.34"/>
        <n v="15.6"/>
        <n v="20.34"/>
        <n v="29.83"/>
        <n v="40.0"/>
        <n v="263.43"/>
        <n v="8.25"/>
        <n v="121.66"/>
        <n v="150.0"/>
        <n v="5.65"/>
        <n v="96.31"/>
        <n v="15.47"/>
        <n v="9.02"/>
        <n v="51.35"/>
        <n v="18.02"/>
        <n v="33.65"/>
        <n v="184.8"/>
        <n v="42.19"/>
        <n v="222.95"/>
        <n v="289.23"/>
        <n v="540.52"/>
        <n v="23.98"/>
        <n v="22.6"/>
        <n v="3.0"/>
        <n v="251.5"/>
        <n v="6.29"/>
        <n v="8.13"/>
        <n v="36.52"/>
        <n v="20.51"/>
        <n v="88.08"/>
        <n v="561.53"/>
        <n v="7.87"/>
        <n v="38.44"/>
        <n v="2100.73"/>
        <n v="636.11"/>
        <n v="33.09"/>
        <n v="29.63"/>
        <n v="33.88"/>
        <n v="-5287.46"/>
        <n v="17.77"/>
        <n v="85.12"/>
        <n v="94.2"/>
        <n v="14.68"/>
        <n v="45.19"/>
        <n v="39.82"/>
        <n v="10.16"/>
        <n v="3.38"/>
        <m/>
      </sharedItems>
    </cacheField>
    <cacheField name="CATEGORY" numFmtId="0">
      <sharedItems containsBlank="1">
        <s v="SPOTIFY SUB"/>
        <s v="HOME"/>
        <s v="GROCERIES"/>
        <s v="CANNABIS"/>
        <s v="PET FOOD/TOYS"/>
        <s v="MISC"/>
        <s v="HEALTH &amp; BEAUTY"/>
        <s v="COFFEE"/>
        <s v="TAKE OUT"/>
        <s v="ALCOHOL"/>
        <s v="DINE IN"/>
        <s v="APPLE SUB"/>
        <s v="TELUS SECURITY"/>
        <s v="MOBILE"/>
        <s v="CLOTHES"/>
        <s v="CHARITY"/>
        <s v="PAYMENT"/>
        <s v="ENTERTAINMENT"/>
        <s v="NETFLIX"/>
        <s v="PRIME VIDEO SUB"/>
        <s v="GAS"/>
        <s v="TRAVEL"/>
        <s v="UBER"/>
        <s v="GIFTS"/>
        <s v="DAY CARE"/>
        <s v="RELIANCE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934" sheet="Apr-2025 (CC)"/>
  </cacheSource>
  <cacheFields>
    <cacheField name=" AMOUNT " numFmtId="164">
      <sharedItems containsString="0" containsBlank="1" containsNumber="1">
        <n v="503.99"/>
        <n v="228.23"/>
        <n v="36.11"/>
        <n v="28.97"/>
        <n v="16.94"/>
        <n v="46.46"/>
        <n v="14.68"/>
        <n v="36.9"/>
        <n v="391.88"/>
        <n v="-20.0"/>
        <n v="7.13"/>
        <n v="17.63"/>
        <n v="76.62"/>
        <n v="19.0"/>
        <n v="48.0"/>
        <n v="29.0"/>
        <n v="-9975.36"/>
        <n v="18.84"/>
        <n v="60.49"/>
        <n v="10.53"/>
        <n v="18.01"/>
        <n v="10.0"/>
        <n v="16.95"/>
        <n v="4.52"/>
        <n v="8.76"/>
        <n v="20.34"/>
        <n v="33.9"/>
        <n v="20.0"/>
        <n v="153.15"/>
        <n v="211.95"/>
        <n v="67.8"/>
        <n v="196.19"/>
        <n v="24.85"/>
        <n v="90.94"/>
        <n v="82.04"/>
        <n v="40.56"/>
        <n v="14.45"/>
        <n v="60.42"/>
        <n v="26.86"/>
        <n v="228.18"/>
        <n v="36.87"/>
        <n v="8.86"/>
        <n v="48.48"/>
        <n v="186.52"/>
        <n v="73.44"/>
        <n v="525.79"/>
        <n v="15.45"/>
        <n v="-150.0"/>
        <n v="1462.57"/>
        <n v="20.07"/>
        <n v="63.71"/>
        <n v="35.39"/>
        <n v="40.96"/>
        <n v="39.82"/>
        <n v="167.22"/>
        <n v="5.65"/>
        <n v="11.29"/>
        <n v="84.34"/>
        <n v="36.44"/>
        <n v="5.64"/>
        <n v="-2218.84"/>
        <n v="24.83"/>
        <n v="169.04"/>
        <n v="4.51"/>
        <n v="64.95"/>
        <n v="33.07"/>
        <n v="141.25"/>
        <n v="123.1"/>
        <n v="81.54"/>
        <n v="101.08"/>
        <n v="43.65"/>
        <n v="89.19"/>
        <n v="56.77"/>
        <n v="10.12"/>
        <n v="137.4"/>
        <n v="282.44"/>
        <n v="84.69"/>
        <n v="112.94"/>
        <n v="108.13"/>
        <n v="366.04"/>
        <n v="42.37"/>
        <n v="1.49"/>
        <n v="27.11"/>
        <n v="31.08"/>
        <n v="216.44"/>
        <n v="141.32"/>
        <n v="284.41"/>
        <n v="28.24"/>
        <n v="45.2"/>
        <n v="11.06"/>
        <n v="34.93"/>
        <n v="30.0"/>
        <n v="18.89"/>
        <n v="15.0"/>
        <n v="37.89"/>
        <n v="304.93"/>
        <n v="36.6"/>
        <n v="47.45"/>
        <n v="65.69"/>
        <n v="1790.61"/>
        <n v="48.62"/>
        <n v="102.82"/>
        <n v="31.17"/>
        <n v="20.22"/>
        <n v="6.64"/>
        <n v="67.78"/>
        <n v="59.22"/>
        <n v="4.5"/>
        <n v="102.64"/>
        <n v="22.79"/>
        <n v="78.04"/>
        <n v="336.13"/>
        <n v="72.99"/>
        <n v="49.34"/>
        <n v="430.93"/>
        <n v="36.03"/>
        <n v="7.65"/>
        <n v="204.51"/>
        <n v="10.16"/>
        <n v="100.51"/>
        <n v="76.97"/>
        <n v="3.38"/>
        <n v="50.31"/>
        <n v="56.5"/>
        <n v="20.09"/>
        <n v="80.0"/>
        <n v="-414.54"/>
        <n v="30.02"/>
        <n v="609.25"/>
        <n v="123.67"/>
        <n v="30.09"/>
        <n v="46.01"/>
        <n v="-1966.13"/>
        <n v="28.45"/>
        <n v="57.08"/>
        <n v="53.81"/>
        <n v="47.98"/>
        <n v="27.95"/>
        <n v="76.0"/>
        <n v="17.09"/>
        <n v="135.93"/>
        <n v="163.78"/>
        <n v="528.84"/>
        <n v="-10336.03"/>
        <n v="134.74"/>
        <n v="204.53"/>
        <n v="66.99"/>
        <n v="58.17"/>
        <n v="103.95"/>
        <n v="64.59"/>
        <m/>
      </sharedItems>
    </cacheField>
    <cacheField name="CATEGORY" numFmtId="0">
      <sharedItems containsBlank="1">
        <s v="HOME"/>
        <s v="NEWSPAPERS"/>
        <s v="DAY CARE"/>
        <s v="PRIME VIDEO SUB"/>
        <s v="TAKE OUT"/>
        <s v="YOUTUBE SUB"/>
        <s v="ALCOHOL"/>
        <s v="PAYMENT"/>
        <s v="COFFEE"/>
        <s v="MISC"/>
        <s v="HEALTH &amp; BEAUTY"/>
        <s v="CANVA SUB"/>
        <s v="GROCERIES"/>
        <s v="TRAVEL"/>
        <s v="ENTERTAINMENT"/>
        <s v="INSURANCE"/>
        <s v="IPSY SUB"/>
        <s v="GIFTS"/>
        <s v="GAS"/>
        <s v="PET FOOD/TOYS"/>
        <s v="UBER"/>
        <s v="CLOTHES"/>
        <s v="APPLE SUB"/>
        <s v="DINE IN"/>
        <s v="MOBILE"/>
        <s v="TELUS SECURITY"/>
        <s v="CAR EXPENSES"/>
        <s v="SPOTIFY SUB"/>
        <s v="CANNABIS"/>
        <s v="RELIANCE"/>
        <s v="VET BILL"/>
        <s v="INTERNET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34" sheet="May-2025 (CC)"/>
  </cacheSource>
  <cacheFields>
    <cacheField name="AMOUNT" numFmtId="164">
      <sharedItems containsString="0" containsBlank="1" containsNumber="1">
        <n v="34.62"/>
        <n v="3.1"/>
        <n v="56.5"/>
        <n v="199.33"/>
        <n v="3.38"/>
        <n v="50.0"/>
        <n v="423.75"/>
        <n v="134.23"/>
        <n v="52.18"/>
        <n v="-17.0"/>
        <n v="282.9"/>
        <n v="21.09"/>
        <n v="28.93"/>
        <n v="230.99"/>
        <n v="24.4"/>
        <n v="149.5"/>
        <n v="29.0"/>
        <n v="50.17"/>
        <n v="75.0"/>
        <n v="11.3"/>
        <n v="26.23"/>
        <n v="16.0"/>
        <n v="10.16"/>
        <n v="39.89"/>
        <n v="15.0"/>
        <n v="28.97"/>
        <n v="302.47"/>
        <n v="11.29"/>
        <n v="20.34"/>
        <n v="30.08"/>
        <n v="32.75"/>
        <n v="88.97"/>
        <n v="5.64"/>
        <n v="47.23"/>
        <n v="193.84"/>
        <n v="117.43"/>
        <n v="4.51"/>
        <n v="107.35"/>
        <n v="30.99"/>
        <n v="43.22"/>
        <n v="11.97"/>
        <n v="32.3"/>
        <n v="106.17"/>
        <n v="-38.4"/>
        <n v="48.58"/>
        <n v="31.12"/>
        <n v="18.89"/>
        <n v="25.0"/>
        <n v="16.55"/>
        <n v="50.63"/>
        <n v="-1897.81"/>
        <n v="14.5"/>
        <n v="1462.56"/>
        <n v="132.65"/>
        <n v="300.7"/>
        <n v="148.2"/>
        <n v="21.82"/>
        <n v="39.82"/>
        <n v="35.22"/>
        <n v="194.24"/>
        <n v="7.35"/>
        <n v="107.24"/>
        <n v="32.79"/>
        <n v="159.28"/>
        <n v="67.12"/>
        <n v="11.96"/>
        <n v="27.11"/>
        <n v="17.95"/>
        <n v="84.32"/>
        <n v="55.78"/>
        <n v="93.86"/>
        <n v="56.49"/>
        <n v="45.19"/>
        <n v="14.68"/>
        <n v="92.0"/>
        <n v="157.6"/>
        <n v="45.2"/>
        <n v="1146.91"/>
        <n v="79.82"/>
        <n v="39.53"/>
        <n v="17.8"/>
        <n v="239.0"/>
        <n v="119.99"/>
        <n v="0.78"/>
        <n v="15.44"/>
        <n v="36.11"/>
        <n v="18.99"/>
        <n v="128.7"/>
        <n v="124.68"/>
        <n v="105.41"/>
        <n v="130.97"/>
        <n v="20.22"/>
        <n v="71.17"/>
        <n v="7.9"/>
        <n v="24.85"/>
        <n v="163.79"/>
        <n v="211.95"/>
        <n v="58.04"/>
        <n v="9.98"/>
        <n v="-7827.88"/>
        <n v="13.63"/>
        <n v="19.0"/>
        <n v="16.94"/>
        <n v="23.72"/>
        <n v="24.0"/>
        <n v="35.99"/>
        <n v="50.12"/>
        <n v="1.5"/>
        <n v="65.2"/>
        <n v="321.45"/>
        <n v="3577.51"/>
        <n v="-7.54"/>
        <n v="28.24"/>
        <n v="29.3"/>
        <n v="7.63"/>
        <m/>
      </sharedItems>
    </cacheField>
    <cacheField name="CATEGORY" numFmtId="0">
      <sharedItems containsBlank="1">
        <s v="DAY CARE"/>
        <s v="TRAVEL"/>
        <s v="INTERNET"/>
        <s v="DINE IN"/>
        <s v="HEALTH &amp; BEAUTY"/>
        <s v="HOME"/>
        <s v="GIFTS"/>
        <s v="ALCOHOL"/>
        <s v="PAYMENT"/>
        <s v="VET BILL"/>
        <s v="TAKE OUT"/>
        <s v="COFFEE"/>
        <s v="CLOTHES"/>
        <s v="ENTERTAINMENT"/>
        <s v="GROCERIES"/>
        <s v="APPLE SUB"/>
        <s v="PRIME VIDEO SUB"/>
        <s v="CHARITY"/>
        <s v="CANNABIS"/>
        <s v="UBER"/>
        <s v="NEWSPAPERS"/>
        <s v="GAS"/>
        <s v="MISC"/>
        <s v="RELIANCE"/>
        <s v="NETFLIX"/>
        <s v="MOBILE"/>
        <s v="TELUS SECURITY"/>
        <s v="PET FOOD/TOYS"/>
        <s v="SPOTIFY SUB"/>
        <s v="INSURANCE"/>
        <s v="IPSY SUB"/>
        <s v="CANVA SUB"/>
        <s v="YOUTUBE SUB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28" sheet="Jun-2025 (CC)"/>
  </cacheSource>
  <cacheFields>
    <cacheField name="AMOUNT" numFmtId="164">
      <sharedItems containsString="0" containsBlank="1" containsNumber="1">
        <n v="32.35"/>
        <n v="20.22"/>
        <n v="16.94"/>
        <n v="70.0"/>
        <n v="4.17"/>
        <n v="241.61"/>
        <n v="141.25"/>
        <n v="46.1"/>
        <n v="53.68"/>
        <n v="54.76"/>
        <n v="2.3"/>
        <n v="100.03"/>
        <n v="180.78"/>
        <n v="51.98"/>
        <n v="127.69"/>
        <n v="25.09"/>
        <n v="56.03"/>
        <n v="53.33"/>
        <n v="33.6"/>
        <n v="139.16"/>
        <n v="33.03"/>
        <n v="132.08"/>
        <n v="138.1"/>
        <n v="46.32"/>
        <n v="60.93"/>
        <n v="6.76"/>
        <n v="36.91"/>
        <n v="41.8"/>
        <n v="-9.83"/>
        <n v="11.29"/>
        <n v="45.2"/>
        <n v="8.0"/>
        <n v="0.78"/>
        <n v="115.65"/>
        <n v="28.97"/>
        <n v="35.99"/>
        <n v="93.86"/>
        <n v="14.68"/>
        <n v="48.57"/>
        <n v="110.72"/>
        <n v="40.88"/>
        <n v="59.0"/>
        <n v="139.25"/>
        <n v="36.75"/>
        <n v="45.19"/>
        <n v="27.11"/>
        <n v="15.0"/>
        <n v="4.51"/>
        <n v="43.49"/>
        <n v="129.94"/>
        <n v="54.55"/>
        <n v="255.27"/>
        <n v="6.77"/>
        <n v="-4.2"/>
        <n v="4.2"/>
        <n v="48.27"/>
        <n v="22.59"/>
        <n v="53.93"/>
        <n v="25.42"/>
        <n v="28.19"/>
        <n v="77.9"/>
        <n v="35.33"/>
        <n v="32.77"/>
        <n v="135.3"/>
        <n v="25.0"/>
        <n v="57.5"/>
        <n v="8.48"/>
        <n v="88.84"/>
        <n v="3.85"/>
        <n v="31.75"/>
        <n v="-42.21"/>
        <n v="5.64"/>
        <n v="208.3"/>
        <n v="-1833.43"/>
        <n v="36.15"/>
        <n v="50.0"/>
        <n v="100.3"/>
        <n v="19.07"/>
        <n v="73.45"/>
        <n v="23.38"/>
        <n v="59.7"/>
        <n v="12.42"/>
        <n v="96.77"/>
        <n v="3.0"/>
        <n v="10.16"/>
        <n v="13.31"/>
        <n v="55.89"/>
        <n v="70.2"/>
        <n v="254.24"/>
        <n v="42.12"/>
        <n v="8.5"/>
        <n v="41.65"/>
        <n v="3.38"/>
        <n v="56.5"/>
        <n v="-2250.0"/>
        <n v="146.21"/>
        <n v="151.59"/>
        <n v="30.42"/>
        <n v="7.9"/>
        <n v="24.85"/>
        <n v="53.71"/>
        <n v="52.32"/>
        <n v="25.33"/>
        <n v="57.0"/>
        <n v="-7811.08"/>
        <n v="-5.0"/>
        <n v="39.49"/>
        <n v="25.03"/>
        <n v="17.11"/>
        <n v="23.01"/>
        <n v="23.72"/>
        <n v="7.21"/>
        <n v="61.83"/>
        <n v="124.61"/>
        <n v="56.47"/>
        <n v="423.75"/>
        <n v="-654.09"/>
        <m/>
      </sharedItems>
    </cacheField>
    <cacheField name="CATEGORY" numFmtId="0">
      <sharedItems containsBlank="1">
        <s v="DAY CARE"/>
        <s v="SPOTIFY SUB"/>
        <s v="MISC"/>
        <s v="CANNABIS"/>
        <s v="TRAVEL"/>
        <s v="TAKE OUT"/>
        <s v="ENTERTAINMENT"/>
        <s v="GAS"/>
        <s v="DISNEY PLUS SUB"/>
        <s v="GROCERIES"/>
        <s v="HOME"/>
        <s v="PAYMENT"/>
        <s v="TELUS SECURITY"/>
        <s v="RELIANCE"/>
        <s v="MOBILE"/>
        <s v="APPLE SUB"/>
        <s v="NEWSPAPERS"/>
        <s v="HEALTH &amp; BEAUTY"/>
        <s v="COFFEE"/>
        <s v="PRIME VIDEO SUB"/>
        <s v="PET FOOD/TOYS"/>
        <s v="GIFTS"/>
        <s v="UBER"/>
        <s v="CHARITY"/>
        <s v="IPSY SUB"/>
        <s v="INTERNET"/>
        <s v="INSURANCE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31" sheet="Jul-2025 (CC)"/>
  </cacheSource>
  <cacheFields>
    <cacheField name="AMOUNT" numFmtId="164">
      <sharedItems containsString="0" containsBlank="1" containsNumber="1">
        <n v="-5803.08"/>
        <n v="28.97"/>
        <n v="49.08"/>
        <n v="90.4"/>
        <n v="-5.0"/>
        <n v="62.14"/>
        <n v="27.12"/>
        <n v="19.66"/>
        <n v="34.67"/>
        <n v="49.31"/>
        <n v="16.0"/>
        <n v="45.2"/>
        <n v="1675.17"/>
        <n v="3.0"/>
        <n v="35.84"/>
        <n v="43.81"/>
        <n v="-100.0"/>
        <n v="45.91"/>
        <n v="4.04"/>
        <n v="239.0"/>
        <n v="168.56"/>
        <n v="11.29"/>
        <n v="43.93"/>
        <n v="249.93"/>
        <n v="26.62"/>
        <n v="230.42"/>
        <n v="142.08"/>
        <n v="70.2"/>
        <n v="4.51"/>
        <n v="5.64"/>
        <n v="35.99"/>
        <n v="-11.29"/>
        <n v="50.0"/>
        <n v="43.61"/>
        <n v="13.31"/>
        <n v="11.85"/>
        <n v="124.3"/>
        <n v="36.88"/>
        <n v="15.84"/>
        <n v="124.18"/>
        <n v="17.7"/>
        <n v="12.42"/>
        <n v="6.0"/>
        <n v="341.78"/>
        <n v="42.53"/>
        <n v="-1675.17"/>
        <n v="116.46"/>
        <n v="53.23"/>
        <n v="307.25"/>
        <n v="5.85"/>
        <n v="31.39"/>
        <n v="32.85"/>
        <n v="101.69"/>
        <n v="14.68"/>
        <n v="52.52"/>
        <n v="1.12"/>
        <n v="54.4"/>
        <n v="15.95"/>
        <n v="7.91"/>
        <n v="10.16"/>
        <n v="28.44"/>
        <n v="55.27"/>
        <n v="30.77"/>
        <n v="116.37"/>
        <n v="56.5"/>
        <n v="146.21"/>
        <n v="151.61"/>
        <n v="71.82"/>
        <n v="15.0"/>
        <n v="37.84"/>
        <n v="47.75"/>
        <n v="24.36"/>
        <n v="68.79"/>
        <n v="29.58"/>
        <n v="3.1"/>
        <n v="249.17"/>
        <n v="38.78"/>
        <n v="8.99"/>
        <n v="20.22"/>
        <n v="28.24"/>
        <n v="172.96"/>
        <n v="11.39"/>
        <n v="-980.82"/>
        <n v="24.0"/>
        <n v="203.4"/>
        <n v="28.57"/>
        <n v="25.6"/>
        <n v="44.18"/>
        <n v="6.53"/>
        <n v="14.4"/>
        <n v="50.14"/>
        <n v="44.15"/>
        <n v="54.0"/>
        <n v="44.06"/>
        <m/>
      </sharedItems>
    </cacheField>
    <cacheField name="CATEGORY" numFmtId="0">
      <sharedItems containsBlank="1">
        <s v="PAYMENT"/>
        <s v="DAY CARE"/>
        <s v="GROCERIES"/>
        <s v="COFFEE"/>
        <s v="TAKE OUT"/>
        <s v="ALCOHOL"/>
        <s v="GAS"/>
        <s v="TELUS SECURITY"/>
        <s v="UBER"/>
        <s v="ENTERTAINMENT"/>
        <s v="TRAVEL"/>
        <s v="PRIME VIDEO SUB"/>
        <s v="PET FOOD/TOYS"/>
        <s v="APPLE SUB"/>
        <s v="CHARITY"/>
        <s v="MISC"/>
        <s v="HOME"/>
        <s v="CANNABIS"/>
        <s v="GIFTS"/>
        <s v="INTERNET"/>
        <s v="INSURANCE"/>
        <s v="CAR EXPENSES"/>
        <s v="HEALTH &amp; BEAUTY"/>
        <s v="SPOTIFY SUB"/>
        <s v="MOBILE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44" sheet="Aug-2025 (CC)"/>
  </cacheSource>
  <cacheFields>
    <cacheField name="AMOUNT" numFmtId="164">
      <sharedItems containsString="0" containsBlank="1" containsNumber="1">
        <n v="4.51"/>
        <n v="12.99"/>
        <n v="24.57"/>
        <n v="49.95"/>
        <n v="107.35"/>
        <n v="11.01"/>
        <n v="28.97"/>
        <n v="56.85"/>
        <n v="22.58"/>
        <n v="35.99"/>
        <n v="48.82"/>
        <n v="28.36"/>
        <n v="54.55"/>
        <n v="5.04"/>
        <n v="18.84"/>
        <n v="7.5"/>
        <n v="73.22"/>
        <n v="9.71"/>
        <n v="17.98"/>
        <n v="40.95"/>
        <n v="90.59"/>
        <n v="139.0"/>
        <n v="23.61"/>
        <n v="24.85"/>
        <n v="11.29"/>
        <n v="14.68"/>
        <n v="19.48"/>
        <n v="434.01"/>
        <n v="15.81"/>
        <n v="198.11"/>
        <n v="1.12"/>
        <n v="6.87"/>
        <n v="63.73"/>
        <n v="22.85"/>
        <n v="5.64"/>
        <n v="50.0"/>
        <n v="42.35"/>
        <n v="57.0"/>
        <n v="12.42"/>
        <n v="7.44"/>
        <n v="45.19"/>
        <n v="10.16"/>
        <n v="3.38"/>
        <n v="56.5"/>
        <n v="12.4"/>
        <n v="20.88"/>
        <n v="146.21"/>
        <n v="151.61"/>
        <n v="15.84"/>
        <n v="85.47"/>
        <n v="60.51"/>
        <n v="-44.0"/>
        <n v="120.0"/>
        <n v="723.26"/>
        <n v="41.84"/>
        <n v="98.54"/>
        <n v="42.33"/>
        <n v="92.91"/>
        <n v="16.95"/>
        <n v="44.07"/>
        <n v="10.15"/>
        <n v="126.9"/>
        <n v="180.67"/>
        <n v="21.0"/>
        <n v="67.84"/>
        <n v="19.49"/>
        <n v="425.4"/>
        <n v="118.72"/>
        <n v="-2006.7"/>
        <n v="36.02"/>
        <n v="28.57"/>
        <n v="28.24"/>
        <n v="45.2"/>
        <n v="53.18"/>
        <n v="45.91"/>
        <n v="109.5"/>
        <n v="0.8"/>
        <n v="239.0"/>
        <n v="37.8"/>
        <n v="51.94"/>
        <n v="9.03"/>
        <n v="33.0"/>
        <n v="20.4"/>
        <n v="20.0"/>
        <n v="46.7"/>
        <n v="61.35"/>
        <n v="-1815.81"/>
        <n v="10.71"/>
        <n v="174.88"/>
        <n v="15.9"/>
        <m/>
      </sharedItems>
    </cacheField>
    <cacheField name="CATEGORY" numFmtId="0">
      <sharedItems containsBlank="1">
        <s v="APPLE SUB"/>
        <s v="MISC"/>
        <s v="ALCOHOL"/>
        <s v="GROCERIES"/>
        <s v="NEWSPAPERS"/>
        <s v="DAY CARE"/>
        <s v="ENTERTAINMENT"/>
        <s v="GAS"/>
        <s v="COFFEE"/>
        <s v="UBER"/>
        <s v="PRIME VIDEO SUB"/>
        <s v="VET BILLS"/>
        <s v="CAR EXPENSES"/>
        <s v="TAKE OUT"/>
        <s v="CHARITY"/>
        <s v="INTERNET"/>
        <s v="INSURANCE"/>
        <s v="PAYMENT"/>
        <s v="HEALTH &amp; BEAUTY"/>
        <s v="HOME"/>
        <s v="PET FOOD/TOYS"/>
        <s v="MOBILE"/>
        <s v="SPOTIFY SUB"/>
        <s v="DINE IN"/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36" sheet="Sep-2025 (CC)"/>
  </cacheSource>
  <cacheFields>
    <cacheField name="AMOUNT" numFmtId="164">
      <sharedItems containsString="0" containsBlank="1" containsNumber="1">
        <n v="4.51"/>
        <n v="12.99"/>
        <n v="28.97"/>
        <n v="9.6"/>
        <n v="239.0"/>
        <n v="-133.2"/>
        <n v="68.13"/>
        <n v="35.99"/>
        <n v="-65.99"/>
        <n v="15.1"/>
        <n v="15.98"/>
        <n v="96.77"/>
        <n v="97.31"/>
        <n v="53.5"/>
        <n v="38.04"/>
        <n v="678.0"/>
        <n v="328.77"/>
        <n v="10.04"/>
        <n v="16.94"/>
        <n v="66.18"/>
        <n v="12.8"/>
        <n v="19.79"/>
        <n v="38.47"/>
        <n v="33.68"/>
        <n v="19.87"/>
        <n v="39.89"/>
        <n v="63.78"/>
        <n v="12.76"/>
        <n v="26.53"/>
        <n v="91.98"/>
        <n v="98.99"/>
        <n v="81.7"/>
        <n v="48.04"/>
        <n v="110.13"/>
        <n v="36.02"/>
        <n v="14.47"/>
        <n v="64.14"/>
        <n v="34.29"/>
        <n v="62.12"/>
        <n v="2.49"/>
        <n v="72.26"/>
        <n v="36.92"/>
        <n v="20.88"/>
        <n v="-3837.61"/>
        <n v="3.0"/>
        <n v="8.38"/>
        <n v="93.78"/>
        <n v="87.5"/>
        <n v="37.8"/>
        <n v="47.03"/>
        <n v="25.4"/>
        <n v="5.64"/>
        <n v="0.99"/>
        <n v="14.68"/>
        <n v="91.72"/>
        <n v="21.07"/>
        <n v="1.12"/>
        <n v="11.29"/>
        <n v="18.72"/>
        <n v="30.77"/>
        <n v="43.22"/>
        <n v="50.0"/>
        <n v="10.83"/>
        <n v="12.42"/>
        <n v="15.35"/>
        <n v="10.16"/>
        <n v="38.48"/>
        <n v="-3.99"/>
        <n v="54.0"/>
        <n v="94.09"/>
        <n v="56.5"/>
        <m/>
      </sharedItems>
    </cacheField>
    <cacheField name="CATEGORY" numFmtId="0">
      <sharedItems containsBlank="1">
        <s v="APPLE SUB"/>
        <s v="MISC"/>
        <s v="DAY CARE"/>
        <s v="GROCERIES"/>
        <s v="PAYMENT"/>
        <s v="ENTERTAINMENT"/>
        <s v="TAKE OUT"/>
        <s v="ALCOHOL"/>
        <s v="GAS"/>
        <s v="HOME"/>
        <s v="PET FOOD/TOYS"/>
        <s v="UBER"/>
        <s v="MOBILE"/>
        <s v="SPOTIFY SUB"/>
        <s v="HEALTH &amp; BEAUTY"/>
        <s v="PRIME VIDEO SUB"/>
        <s v="TELUS SECURITY"/>
        <s v="CHARITY"/>
        <s v="INTERNET"/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54" sheet="Oct-2025 (CC)"/>
  </cacheSource>
  <cacheFields>
    <cacheField name="AMOUNT" numFmtId="164">
      <sharedItems containsString="0" containsBlank="1" containsNumber="1">
        <n v="4.51"/>
        <n v="12.99"/>
        <n v="66.11"/>
        <n v="28.97"/>
        <n v="9.25"/>
        <n v="7.33"/>
        <n v="21.9"/>
        <n v="49.1"/>
        <n v="246.32"/>
        <n v="35.56"/>
        <n v="122.76"/>
        <n v="146.21"/>
        <n v="151.61"/>
        <n v="31.0"/>
        <n v="35.99"/>
        <n v="53.65"/>
        <n v="328.77"/>
        <n v="22.5"/>
        <n v="53.78"/>
        <n v="43.69"/>
        <n v="13.2"/>
        <n v="17.77"/>
        <n v="69.96"/>
        <n v="35.96"/>
        <n v="107.35"/>
        <n v="1.0"/>
        <n v="11.67"/>
        <n v="44.13"/>
        <n v="21.02"/>
        <n v="103.95"/>
        <n v="173.6"/>
        <n v="96.77"/>
        <n v="16.01"/>
        <n v="28.87"/>
        <n v="14.43"/>
        <n v="93.86"/>
        <n v="36.02"/>
        <n v="66.72"/>
        <n v="14.45"/>
        <n v="-3836.85"/>
        <n v="30.6"/>
        <n v="31.12"/>
        <n v="29.55"/>
        <n v="37.11"/>
        <n v="7.44"/>
        <n v="37.26"/>
        <n v="20.33"/>
        <n v="-5.8"/>
        <n v="37.28"/>
        <n v="94.19"/>
        <n v="5.64"/>
        <n v="45.2"/>
        <n v="33.46"/>
        <n v="14.68"/>
        <n v="42.92"/>
        <n v="3.15"/>
        <n v="3.4"/>
        <n v="11.29"/>
        <n v="13.4"/>
        <n v="19.05"/>
        <n v="73.0"/>
        <n v="12.17"/>
        <n v="10.18"/>
        <n v="52.95"/>
        <n v="302.81"/>
        <n v="50.16"/>
        <n v="17.27"/>
        <n v="576.63"/>
        <n v="24.87"/>
        <n v="277.5"/>
        <n v="50.0"/>
        <n v="33.89"/>
        <n v="12.42"/>
        <n v="16.94"/>
        <n v="29.0"/>
        <n v="9.7"/>
        <n v="10.16"/>
        <n v="32.37"/>
        <n v="177.98"/>
        <n v="167.22"/>
        <n v="28.14"/>
        <n v="54.66"/>
        <n v="13.08"/>
        <n v="163.82"/>
        <n v="3.38"/>
        <n v="144.64"/>
        <n v="60.74"/>
        <n v="56.5"/>
        <n v="-3226.92"/>
        <n v="9.91"/>
        <n v="50.28"/>
        <n v="5.07"/>
        <n v="109.59"/>
        <n v="31.1"/>
        <n v="15.56"/>
        <n v="11.85"/>
        <n v="10.71"/>
        <n v="71.38"/>
        <n v="-0.96"/>
        <m/>
      </sharedItems>
    </cacheField>
    <cacheField name="CATEGORY" numFmtId="0">
      <sharedItems containsBlank="1">
        <s v="APPLE SUB"/>
        <s v="MISC"/>
        <s v="GIFTS"/>
        <s v="DAY CARE"/>
        <s v="ALCOHOL"/>
        <s v="UBER"/>
        <s v="TAKE OUT"/>
        <s v="GAS"/>
        <s v="GROCERIES"/>
        <s v="ENTERTAINMENT"/>
        <s v="COFFEE"/>
        <s v="INSURANCE"/>
        <s v="PET FOOD/TOYS"/>
        <s v="NEWSPAPERS"/>
        <s v="TRAVEL"/>
        <s v="MOBILE"/>
        <s v="SPOTIFY SUB"/>
        <s v="PAYMENT"/>
        <s v="PRIME VIDEO SUB"/>
        <s v="TELUS SECURITY"/>
        <s v="HEALTH &amp; BEAUTY"/>
        <s v="CHARITY"/>
        <s v="DINE IN"/>
        <s v="CLOTHES"/>
        <s v="HOME"/>
        <s v="INTERNET"/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54" sheet="Nov-2025 (CC)"/>
  </cacheSource>
  <cacheFields>
    <cacheField name="AMOUNT" numFmtId="164">
      <sharedItems containsString="0" containsBlank="1" containsNumber="1">
        <n v="4.51"/>
        <n v="12.99"/>
        <n v="66.73"/>
        <n v="21.0"/>
        <n v="54.22"/>
        <n v="69.35"/>
        <n v="51.0"/>
        <n v="25.21"/>
        <n v="51.95"/>
        <n v="43.51"/>
        <n v="-137.51"/>
        <n v="2574.38"/>
        <n v="28.97"/>
        <n v="64.11"/>
        <n v="99.42"/>
        <n v="108.43"/>
        <n v="170.63"/>
        <n v="1091.2"/>
        <n v="216.0"/>
        <n v="5.19"/>
        <n v="239.0"/>
        <n v="56.14"/>
        <n v="35.99"/>
        <n v="180.42"/>
        <n v="1218.89"/>
        <n v="158.99"/>
        <n v="11.83"/>
        <n v="28.24"/>
        <n v="230.23"/>
        <n v="43.0"/>
        <n v="64.95"/>
        <n v="668.11"/>
        <n v="22.7"/>
        <n v="122.76"/>
        <n v="3.0"/>
        <n v="20.33"/>
        <n v="146.21"/>
        <n v="151.61"/>
        <n v="25.58"/>
        <n v="61.18"/>
        <n v="-99.96"/>
        <n v="33.33"/>
        <n v="57.34"/>
        <n v="1092.62"/>
        <n v="9.25"/>
        <n v="97.54"/>
        <n v="8.25"/>
        <n v="105.16"/>
        <n v="36.02"/>
        <n v="20.12"/>
        <n v="79.07"/>
        <n v="6.85"/>
        <n v="6.77"/>
        <n v="3.86"/>
        <n v="42.06"/>
        <n v="416.76"/>
        <n v="13.31"/>
        <n v="17.25"/>
        <n v="40.68"/>
        <n v="-9870.38"/>
        <n v="24.11"/>
        <n v="101.83"/>
        <n v="16.94"/>
        <n v="29.24"/>
        <n v="87.65"/>
        <n v="6.22"/>
        <n v="39.85"/>
        <n v="10.71"/>
        <n v="75.98"/>
        <n v="435.12"/>
        <n v="169.44"/>
        <n v="5.64"/>
        <n v="45.2"/>
        <n v="14.68"/>
        <n v="71.78"/>
        <n v="11.29"/>
        <n v="-8.46"/>
        <n v="423.75"/>
        <n v="50.0"/>
        <n v="6.2"/>
        <n v="8.46"/>
        <n v="3.35"/>
        <n v="10.16"/>
        <n v="32.69"/>
        <n v="35.0"/>
        <n v="79.1"/>
        <n v="38.41"/>
        <n v="11.61"/>
        <n v="-1931.35"/>
        <n v="66.99"/>
        <n v="5.07"/>
        <n v="59.73"/>
        <n v="58.26"/>
        <n v="111.7"/>
        <n v="13.56"/>
        <n v="16.9"/>
        <n v="43.63"/>
        <n v="50.87"/>
        <n v="11.57"/>
        <m/>
      </sharedItems>
    </cacheField>
    <cacheField name="CATEGORY" numFmtId="0">
      <sharedItems containsBlank="1">
        <s v="APPLE SUB"/>
        <s v="MISC"/>
        <s v="TAKE OUT"/>
        <s v="GAS"/>
        <s v="DAY CARE"/>
        <s v="HOME"/>
        <s v="GIFTS"/>
        <s v="GROCERIES"/>
        <s v="PAYMENT"/>
        <s v="DINE IN"/>
        <s v="ALCOHOL"/>
        <s v="COFFEE"/>
        <s v="UBER"/>
        <s v="INSURANCE"/>
        <s v="CAR EXPENSES"/>
        <s v="MOBILE"/>
        <s v="SPOTIFY SUB"/>
        <s v="DELIVERY"/>
        <s v="TRAVEL"/>
        <s v="ENTERTAINMENT"/>
        <s v="PRIME VIDEO SUB"/>
        <s v="CANNABIS"/>
        <s v="TELUS SECURITY"/>
        <s v="CHARITY"/>
        <s v="INTERNET"/>
        <m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D854" sheet="Dec-2025 (CC)"/>
  </cacheSource>
  <cacheFields>
    <cacheField name="AMOUNT" numFmtId="164">
      <sharedItems containsString="0" containsBlank="1" containsNumber="1">
        <n v="12.99"/>
        <n v="28.97"/>
        <n v="74.9"/>
        <n v="36.04"/>
        <n v="35.99"/>
        <n v="17.38"/>
        <n v="16.2"/>
        <n v="111.78"/>
        <n v="44.99"/>
        <n v="85.48"/>
        <n v="193.15"/>
        <n v="1295.61"/>
        <n v="17.28"/>
        <n v="21.85"/>
        <n v="4.99"/>
        <n v="6.0"/>
        <n v="3.3"/>
        <n v="228.6"/>
        <n v="23.81"/>
        <n v="7.05"/>
        <n v="14.67"/>
        <n v="51.68"/>
        <n v="122.76"/>
        <n v="34.52"/>
        <n v="11.29"/>
        <n v="23.08"/>
        <n v="51.22"/>
        <n v="45.2"/>
        <n v="14.68"/>
        <n v="34.01"/>
        <n v="21.33"/>
        <n v="244.34"/>
        <n v="34.1"/>
        <n v="6.77"/>
        <n v="11.61"/>
        <n v="51.87"/>
        <n v="5.64"/>
        <n v="18.13"/>
        <n v="51.62"/>
        <n v="8.25"/>
        <n v="689.29"/>
        <n v="50.0"/>
        <n v="38.75"/>
        <n v="6.2"/>
        <n v="10.16"/>
        <n v="32.39"/>
        <n v="30.5"/>
        <n v="586.47"/>
        <n v="70.0"/>
        <n v="1.7"/>
        <n v="79.1"/>
        <m/>
      </sharedItems>
    </cacheField>
    <cacheField name="CATEGORY" numFmtId="0">
      <sharedItems containsBlank="1">
        <s v="MISC"/>
        <s v="DAY CARE"/>
        <s v="ALCOHOL"/>
        <s v="GROCERIES"/>
        <s v="UBER"/>
        <s v="GIFTS"/>
        <s v="DELIVERY"/>
        <s v="TRAVEL"/>
        <s v="ENTERTAINMENT"/>
        <s v="TAKE OUT"/>
        <s v="GAS"/>
        <s v="COFFEE"/>
        <s v="PRIME VIDEO SUB"/>
        <s v="TELUS SECURITY"/>
        <s v="APPLE SUB"/>
        <s v="CHARITY"/>
        <s v="INTERNET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name="Jan-2025 (CC)" cacheId="0" dataCaption="" compact="0" compactData="0">
  <location ref="F6:H36" firstHeaderRow="0" firstDataRow="2" firstDataCol="0"/>
  <pivotFields>
    <pivotField name=" AMOUN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CATEGORY" axis="axisRow" dataField="1" compact="0" outline="0" multipleItemSelectionAllowed="1" showAll="0" sortType="ascending">
      <items>
        <item x="28"/>
        <item x="12"/>
        <item x="3"/>
        <item x="26"/>
        <item x="22"/>
        <item x="14"/>
        <item x="8"/>
        <item x="1"/>
        <item x="19"/>
        <item x="10"/>
        <item x="11"/>
        <item x="0"/>
        <item x="5"/>
        <item x="18"/>
        <item x="24"/>
        <item x="13"/>
        <item x="17"/>
        <item x="20"/>
        <item x="25"/>
        <item x="7"/>
        <item x="4"/>
        <item x="6"/>
        <item x="21"/>
        <item x="2"/>
        <item x="9"/>
        <item x="15"/>
        <item x="23"/>
        <item x="16"/>
        <item x="27"/>
        <item t="default"/>
      </items>
    </pivotField>
  </pivotFields>
  <rowFields>
    <field x="1"/>
  </rowFields>
  <colFields>
    <field x="-2"/>
  </colFields>
  <dataFields>
    <dataField name="SUM of  AMOUNT " fld="0" baseField="0"/>
    <dataField name="COUNTA of CATEGORY" fld="1" subtotal="count" baseField="0"/>
  </dataFields>
</pivotTableDefinition>
</file>

<file path=xl/pivotTables/pivotTable2.xml><?xml version="1.0" encoding="utf-8"?>
<pivotTableDefinition xmlns="http://schemas.openxmlformats.org/spreadsheetml/2006/main" name="Feb-2025 (CC)" cacheId="1" dataCaption="" compact="0" compactData="0">
  <location ref="F6:G39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ame="CATEGORY" axis="axisRow" compact="0" outline="0" multipleItemSelectionAllowed="1" showAll="0" sortType="ascending">
      <items>
        <item x="31"/>
        <item x="11"/>
        <item x="12"/>
        <item x="28"/>
        <item x="21"/>
        <item x="6"/>
        <item x="7"/>
        <item x="3"/>
        <item x="26"/>
        <item x="13"/>
        <item x="18"/>
        <item x="23"/>
        <item x="5"/>
        <item x="4"/>
        <item x="20"/>
        <item x="27"/>
        <item x="25"/>
        <item x="30"/>
        <item x="17"/>
        <item x="14"/>
        <item x="16"/>
        <item x="22"/>
        <item x="9"/>
        <item x="8"/>
        <item x="19"/>
        <item x="2"/>
        <item x="1"/>
        <item x="10"/>
        <item x="15"/>
        <item x="0"/>
        <item x="24"/>
        <item x="29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3.xml><?xml version="1.0" encoding="utf-8"?>
<pivotTableDefinition xmlns="http://schemas.openxmlformats.org/spreadsheetml/2006/main" name="Mar-2025 (CC)" cacheId="2" dataCaption="" compact="0" compactData="0">
  <location ref="F15:G43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name="CATEGORY" axis="axisRow" compact="0" outline="0" multipleItemSelectionAllowed="1" showAll="0" sortType="ascending">
      <items>
        <item x="26"/>
        <item x="9"/>
        <item x="11"/>
        <item x="3"/>
        <item x="15"/>
        <item x="14"/>
        <item x="7"/>
        <item x="24"/>
        <item x="10"/>
        <item x="17"/>
        <item x="20"/>
        <item x="23"/>
        <item x="2"/>
        <item x="6"/>
        <item x="1"/>
        <item x="5"/>
        <item x="13"/>
        <item x="18"/>
        <item x="16"/>
        <item x="4"/>
        <item x="19"/>
        <item x="25"/>
        <item x="0"/>
        <item x="8"/>
        <item x="12"/>
        <item x="21"/>
        <item x="22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4.xml><?xml version="1.0" encoding="utf-8"?>
<pivotTableDefinition xmlns="http://schemas.openxmlformats.org/spreadsheetml/2006/main" name="Apr-2025 (CC)" cacheId="3" dataCaption="" compact="0" compactData="0">
  <location ref="F3:G37" firstHeaderRow="0" firstDataRow="1" firstDataCol="0"/>
  <pivotFields>
    <pivotField name=" AMOUN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name="CATEGORY" axis="axisRow" compact="0" outline="0" multipleItemSelectionAllowed="1" showAll="0" sortType="ascending">
      <items>
        <item x="32"/>
        <item x="6"/>
        <item x="22"/>
        <item x="28"/>
        <item x="11"/>
        <item x="26"/>
        <item x="21"/>
        <item x="8"/>
        <item x="2"/>
        <item x="23"/>
        <item x="14"/>
        <item x="18"/>
        <item x="17"/>
        <item x="12"/>
        <item x="10"/>
        <item x="0"/>
        <item x="15"/>
        <item x="31"/>
        <item x="16"/>
        <item x="9"/>
        <item x="24"/>
        <item x="1"/>
        <item x="7"/>
        <item x="19"/>
        <item x="3"/>
        <item x="29"/>
        <item x="27"/>
        <item x="4"/>
        <item x="25"/>
        <item x="13"/>
        <item x="20"/>
        <item x="30"/>
        <item x="5"/>
        <item t="default"/>
      </items>
    </pivotField>
  </pivotFields>
  <rowFields>
    <field x="1"/>
  </rowFields>
  <dataFields>
    <dataField name="SUM of  AMOUNT " fld="0" baseField="0"/>
  </dataFields>
</pivotTableDefinition>
</file>

<file path=xl/pivotTables/pivotTable5.xml><?xml version="1.0" encoding="utf-8"?>
<pivotTableDefinition xmlns="http://schemas.openxmlformats.org/spreadsheetml/2006/main" name="May-2025 (CC)" cacheId="4" dataCaption="" compact="0" compactData="0">
  <location ref="F3:G38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CATEGORY" axis="axisRow" compact="0" outline="0" multipleItemSelectionAllowed="1" showAll="0" sortType="ascending">
      <items>
        <item x="33"/>
        <item x="7"/>
        <item x="15"/>
        <item x="18"/>
        <item x="31"/>
        <item x="17"/>
        <item x="12"/>
        <item x="11"/>
        <item x="0"/>
        <item x="3"/>
        <item x="13"/>
        <item x="21"/>
        <item x="6"/>
        <item x="14"/>
        <item x="4"/>
        <item x="5"/>
        <item x="29"/>
        <item x="2"/>
        <item x="30"/>
        <item x="22"/>
        <item x="25"/>
        <item x="24"/>
        <item x="20"/>
        <item x="8"/>
        <item x="27"/>
        <item x="16"/>
        <item x="23"/>
        <item x="28"/>
        <item x="10"/>
        <item x="26"/>
        <item x="1"/>
        <item x="19"/>
        <item x="9"/>
        <item x="32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6.xml><?xml version="1.0" encoding="utf-8"?>
<pivotTableDefinition xmlns="http://schemas.openxmlformats.org/spreadsheetml/2006/main" name="Jun-2025 (CC)" cacheId="5" dataCaption="" compact="0" compactData="0">
  <location ref="F3:G32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CATEGORY" axis="axisRow" compact="0" outline="0" multipleItemSelectionAllowed="1" showAll="0" sortType="ascending">
      <items>
        <item x="27"/>
        <item x="15"/>
        <item x="3"/>
        <item x="23"/>
        <item x="18"/>
        <item x="0"/>
        <item x="8"/>
        <item x="6"/>
        <item x="7"/>
        <item x="21"/>
        <item x="9"/>
        <item x="17"/>
        <item x="10"/>
        <item x="26"/>
        <item x="25"/>
        <item x="24"/>
        <item x="2"/>
        <item x="14"/>
        <item x="16"/>
        <item x="11"/>
        <item x="20"/>
        <item x="19"/>
        <item x="13"/>
        <item x="1"/>
        <item x="5"/>
        <item x="12"/>
        <item x="4"/>
        <item x="22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7.xml><?xml version="1.0" encoding="utf-8"?>
<pivotTableDefinition xmlns="http://schemas.openxmlformats.org/spreadsheetml/2006/main" name="Jul-2025 (CC)" cacheId="6" dataCaption="" compact="0" compactData="0">
  <location ref="F3:G30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CATEGORY" axis="axisRow" compact="0" outline="0" multipleItemSelectionAllowed="1" showAll="0" sortType="ascending">
      <items>
        <item x="25"/>
        <item x="5"/>
        <item x="13"/>
        <item x="17"/>
        <item x="21"/>
        <item x="14"/>
        <item x="3"/>
        <item x="1"/>
        <item x="9"/>
        <item x="6"/>
        <item x="18"/>
        <item x="2"/>
        <item x="22"/>
        <item x="16"/>
        <item x="20"/>
        <item x="19"/>
        <item x="15"/>
        <item x="24"/>
        <item x="0"/>
        <item x="12"/>
        <item x="11"/>
        <item x="23"/>
        <item x="4"/>
        <item x="7"/>
        <item x="10"/>
        <item x="8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8.xml><?xml version="1.0" encoding="utf-8"?>
<pivotTableDefinition xmlns="http://schemas.openxmlformats.org/spreadsheetml/2006/main" name="Aug-2025 (CC)" cacheId="7" dataCaption="" compact="0" compactData="0">
  <location ref="F3:G29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ATEGORY" axis="axisRow" compact="0" outline="0" multipleItemSelectionAllowed="1" showAll="0" sortType="ascending">
      <items>
        <item x="24"/>
        <item x="2"/>
        <item x="0"/>
        <item x="12"/>
        <item x="14"/>
        <item x="8"/>
        <item x="5"/>
        <item x="23"/>
        <item x="6"/>
        <item x="7"/>
        <item x="3"/>
        <item x="18"/>
        <item x="19"/>
        <item x="16"/>
        <item x="15"/>
        <item x="1"/>
        <item x="21"/>
        <item x="4"/>
        <item x="17"/>
        <item x="20"/>
        <item x="10"/>
        <item x="22"/>
        <item x="13"/>
        <item x="9"/>
        <item x="11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9.xml><?xml version="1.0" encoding="utf-8"?>
<pivotTableDefinition xmlns="http://schemas.openxmlformats.org/spreadsheetml/2006/main" name="Sep-2025 (CC)" cacheId="8" dataCaption="" compact="0" compactData="0">
  <location ref="F3:G24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CATEGORY" axis="axisRow" compact="0" outline="0" multipleItemSelectionAllowed="1" showAll="0" sortType="ascending">
      <items>
        <item x="19"/>
        <item x="7"/>
        <item x="0"/>
        <item x="17"/>
        <item x="2"/>
        <item x="5"/>
        <item x="8"/>
        <item x="3"/>
        <item x="14"/>
        <item x="9"/>
        <item x="18"/>
        <item x="1"/>
        <item x="12"/>
        <item x="4"/>
        <item x="10"/>
        <item x="15"/>
        <item x="13"/>
        <item x="6"/>
        <item x="16"/>
        <item x="11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10.xml><?xml version="1.0" encoding="utf-8"?>
<pivotTableDefinition xmlns="http://schemas.openxmlformats.org/spreadsheetml/2006/main" name="Oct-2025 (CC)" cacheId="9" dataCaption="" compact="0" compactData="0">
  <location ref="F3:G31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26"/>
        <item x="4"/>
        <item x="0"/>
        <item x="21"/>
        <item x="23"/>
        <item x="10"/>
        <item x="3"/>
        <item x="22"/>
        <item x="9"/>
        <item x="7"/>
        <item x="2"/>
        <item x="8"/>
        <item x="20"/>
        <item x="24"/>
        <item x="11"/>
        <item x="25"/>
        <item x="1"/>
        <item x="15"/>
        <item x="13"/>
        <item x="17"/>
        <item x="12"/>
        <item x="18"/>
        <item x="16"/>
        <item x="6"/>
        <item x="19"/>
        <item x="14"/>
        <item x="5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11.xml><?xml version="1.0" encoding="utf-8"?>
<pivotTableDefinition xmlns="http://schemas.openxmlformats.org/spreadsheetml/2006/main" name="Nov-2025 (CC)" cacheId="10" dataCaption="" compact="0" compactData="0">
  <location ref="F3:G30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axis="axisRow" compact="0" outline="0" multipleItemSelectionAllowed="1" showAll="0" sortType="ascending">
      <items>
        <item x="25"/>
        <item x="10"/>
        <item x="0"/>
        <item x="21"/>
        <item x="14"/>
        <item x="23"/>
        <item x="11"/>
        <item x="4"/>
        <item x="17"/>
        <item x="9"/>
        <item x="19"/>
        <item x="3"/>
        <item x="6"/>
        <item x="7"/>
        <item x="5"/>
        <item x="13"/>
        <item x="24"/>
        <item x="1"/>
        <item x="15"/>
        <item x="8"/>
        <item x="20"/>
        <item x="16"/>
        <item x="2"/>
        <item x="22"/>
        <item x="18"/>
        <item x="12"/>
        <item t="default"/>
      </items>
    </pivotField>
  </pivotFields>
  <rowFields>
    <field x="1"/>
  </rowFields>
  <dataFields>
    <dataField name="SUM of AMOUNT" fld="0" baseField="0"/>
  </dataFields>
</pivotTableDefinition>
</file>

<file path=xl/pivotTables/pivotTable12.xml><?xml version="1.0" encoding="utf-8"?>
<pivotTableDefinition xmlns="http://schemas.openxmlformats.org/spreadsheetml/2006/main" name="Dec-2025 (CC)" cacheId="11" dataCaption="" compact="0" compactData="0">
  <location ref="F3:G22" firstHeaderRow="0" firstDataRow="1" firstDataCol="0"/>
  <pivotFields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CATEGORY" axis="axisRow" compact="0" outline="0" multipleItemSelectionAllowed="1" showAll="0" sortType="ascending">
      <items>
        <item x="17"/>
        <item x="2"/>
        <item x="14"/>
        <item x="15"/>
        <item x="11"/>
        <item x="1"/>
        <item x="6"/>
        <item x="8"/>
        <item x="10"/>
        <item x="5"/>
        <item x="3"/>
        <item x="16"/>
        <item x="0"/>
        <item x="12"/>
        <item x="9"/>
        <item x="13"/>
        <item x="7"/>
        <item x="4"/>
        <item t="default"/>
      </items>
    </pivotField>
  </pivotFields>
  <rowFields>
    <field x="1"/>
  </rowFields>
  <dataFields>
    <dataField name="SUM of AMOUNT" fld="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netflix.com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netflix.com" TargetMode="External"/><Relationship Id="rId11" Type="http://schemas.openxmlformats.org/officeDocument/2006/relationships/hyperlink" Target="http://withjoy.com" TargetMode="External"/><Relationship Id="rId10" Type="http://schemas.openxmlformats.org/officeDocument/2006/relationships/hyperlink" Target="http://workweeklunch.com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://apple.com/BILL" TargetMode="External"/><Relationship Id="rId5" Type="http://schemas.openxmlformats.org/officeDocument/2006/relationships/hyperlink" Target="http://temu.com" TargetMode="External"/><Relationship Id="rId6" Type="http://schemas.openxmlformats.org/officeDocument/2006/relationships/hyperlink" Target="http://temu.com" TargetMode="External"/><Relationship Id="rId7" Type="http://schemas.openxmlformats.org/officeDocument/2006/relationships/hyperlink" Target="http://dhgate.com" TargetMode="External"/><Relationship Id="rId8" Type="http://schemas.openxmlformats.org/officeDocument/2006/relationships/hyperlink" Target="http://apple.com/BIL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hyperlink" Target="http://netflix.com" TargetMode="External"/><Relationship Id="rId3" Type="http://schemas.openxmlformats.org/officeDocument/2006/relationships/hyperlink" Target="http://workweeklunch.com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hyperlink" Target="http://workweeklunch.com" TargetMode="External"/><Relationship Id="rId3" Type="http://schemas.openxmlformats.org/officeDocument/2006/relationships/hyperlink" Target="http://netflix.com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workweeklunch.com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://apple.com/BILL" TargetMode="External"/><Relationship Id="rId9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netflix.com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netflix.com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hyperlink" Target="http://apple.com/BILL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www.perplexity.ai" TargetMode="External"/><Relationship Id="rId5" Type="http://schemas.openxmlformats.org/officeDocument/2006/relationships/hyperlink" Target="http://apple.com/CA" TargetMode="External"/><Relationship Id="rId6" Type="http://schemas.openxmlformats.org/officeDocument/2006/relationships/hyperlink" Target="http://apple.com/CA" TargetMode="External"/><Relationship Id="rId7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f>'Jan-2025'!B5</f>
        <v>5674.45</v>
      </c>
      <c r="C2" s="4">
        <f>'Jan-2025'!B4</f>
        <v>1497.82</v>
      </c>
      <c r="D2" s="4">
        <f>'Jan-2025'!B6</f>
        <v>3854.91</v>
      </c>
      <c r="E2" s="5">
        <f t="shared" ref="E2:E13" si="1">SUM(B2:D2)</f>
        <v>11027.18</v>
      </c>
    </row>
    <row r="3">
      <c r="A3" s="3" t="s">
        <v>6</v>
      </c>
      <c r="B3" s="4">
        <f>'Feb-2025'!B5</f>
        <v>4948.2</v>
      </c>
      <c r="C3" s="4">
        <f>'Feb-2025'!B4</f>
        <v>1955.54</v>
      </c>
      <c r="D3" s="4">
        <f>'Feb-2025'!B6</f>
        <v>3958.02</v>
      </c>
      <c r="E3" s="5">
        <f t="shared" si="1"/>
        <v>10861.76</v>
      </c>
    </row>
    <row r="4">
      <c r="A4" s="3" t="s">
        <v>7</v>
      </c>
      <c r="B4" s="4">
        <f>'Mar-2025'!B5</f>
        <v>5742.84</v>
      </c>
      <c r="C4" s="4">
        <f>'Mar-2025'!B4</f>
        <v>1161.07</v>
      </c>
      <c r="D4" s="4">
        <f>'Mar-2025'!B6</f>
        <v>3958.02</v>
      </c>
      <c r="E4" s="5">
        <f t="shared" si="1"/>
        <v>10861.93</v>
      </c>
    </row>
    <row r="5">
      <c r="A5" s="3" t="s">
        <v>8</v>
      </c>
      <c r="B5" s="4">
        <f>'Apr-2025'!B5</f>
        <v>9797.83</v>
      </c>
      <c r="C5" s="4">
        <f>'Apr-2025'!B4</f>
        <v>1623.16</v>
      </c>
      <c r="D5" s="4">
        <f>'Apr-2025'!B6</f>
        <v>4078.49</v>
      </c>
      <c r="E5" s="5">
        <f t="shared" si="1"/>
        <v>15499.48</v>
      </c>
    </row>
    <row r="6">
      <c r="A6" s="3" t="s">
        <v>9</v>
      </c>
      <c r="B6" s="4">
        <f>'May-2025'!B5</f>
        <v>7410.76</v>
      </c>
      <c r="C6" s="4">
        <f>'May-2025'!B4</f>
        <v>0</v>
      </c>
      <c r="D6" s="4">
        <f>'May-2025'!B6</f>
        <v>3958.02</v>
      </c>
      <c r="E6" s="5">
        <f t="shared" si="1"/>
        <v>11368.78</v>
      </c>
    </row>
    <row r="7">
      <c r="A7" s="3" t="s">
        <v>10</v>
      </c>
      <c r="B7" s="4">
        <f>'Jun-2025'!B5</f>
        <v>7410.76</v>
      </c>
      <c r="C7" s="4">
        <f>'Jun-2025'!B4</f>
        <v>0</v>
      </c>
      <c r="D7" s="4">
        <f>'Jun-2025'!B6</f>
        <v>3958.02</v>
      </c>
      <c r="E7" s="5">
        <f t="shared" si="1"/>
        <v>11368.78</v>
      </c>
    </row>
    <row r="8">
      <c r="A8" s="3" t="s">
        <v>11</v>
      </c>
      <c r="B8" s="4">
        <f>'Jul-2025'!B5</f>
        <v>6812.62</v>
      </c>
      <c r="C8" s="4">
        <f>'Jul-2025'!B4</f>
        <v>0</v>
      </c>
      <c r="D8" s="4">
        <f>'Jul-2025'!B6</f>
        <v>3958.02</v>
      </c>
      <c r="E8" s="5">
        <f t="shared" si="1"/>
        <v>10770.64</v>
      </c>
    </row>
    <row r="9">
      <c r="A9" s="3" t="s">
        <v>12</v>
      </c>
      <c r="B9" s="4">
        <f>'Aug-2025'!B5</f>
        <v>6813.58</v>
      </c>
      <c r="C9" s="4">
        <f>'Jul-2025'!B4</f>
        <v>0</v>
      </c>
      <c r="D9" s="4">
        <f>'Jul-2025'!B6</f>
        <v>3958.02</v>
      </c>
      <c r="E9" s="5">
        <f t="shared" si="1"/>
        <v>10771.6</v>
      </c>
    </row>
    <row r="10">
      <c r="A10" s="3" t="s">
        <v>13</v>
      </c>
      <c r="B10" s="4">
        <f>'Sep-2025'!B5</f>
        <v>7429.45</v>
      </c>
      <c r="C10" s="4">
        <f>'Sep-2025'!B4</f>
        <v>0</v>
      </c>
      <c r="D10" s="4">
        <f>'Sep-2025'!B6</f>
        <v>4286.52</v>
      </c>
      <c r="E10" s="5">
        <f t="shared" si="1"/>
        <v>11715.97</v>
      </c>
    </row>
    <row r="11">
      <c r="A11" s="3" t="s">
        <v>14</v>
      </c>
      <c r="B11" s="4">
        <f>'Oct-2025'!B5</f>
        <v>12414.97</v>
      </c>
      <c r="C11" s="4">
        <f>'Oct-2025'!B4</f>
        <v>0</v>
      </c>
      <c r="D11" s="4">
        <f>'Oct-2025'!B6</f>
        <v>4180.61</v>
      </c>
      <c r="E11" s="5">
        <f t="shared" si="1"/>
        <v>16595.58</v>
      </c>
    </row>
    <row r="12">
      <c r="A12" s="3" t="s">
        <v>15</v>
      </c>
      <c r="B12" s="4">
        <f>'Nov-2025'!B5</f>
        <v>6054.57</v>
      </c>
      <c r="C12" s="4">
        <f>'Nov-2025'!B4</f>
        <v>0</v>
      </c>
      <c r="D12" s="4">
        <f>'Nov-2025'!B6</f>
        <v>4060.36</v>
      </c>
      <c r="E12" s="5">
        <f t="shared" si="1"/>
        <v>10114.93</v>
      </c>
    </row>
    <row r="13">
      <c r="A13" s="3" t="s">
        <v>16</v>
      </c>
      <c r="B13" s="4">
        <f>'Dec-2025'!B5</f>
        <v>5898.22</v>
      </c>
      <c r="C13" s="4">
        <f>'Dec-2025'!B4</f>
        <v>0</v>
      </c>
      <c r="D13" s="4">
        <f>'Dec-2025'!B6</f>
        <v>4060.36</v>
      </c>
      <c r="E13" s="5">
        <f t="shared" si="1"/>
        <v>9958.58</v>
      </c>
    </row>
    <row r="14">
      <c r="A14" s="6"/>
      <c r="B14" s="7"/>
      <c r="C14" s="7"/>
      <c r="D14" s="7"/>
    </row>
    <row r="15">
      <c r="A15" s="1" t="s">
        <v>4</v>
      </c>
      <c r="B15" s="8">
        <f t="shared" ref="B15:E15" si="2">SUM(B2:B13)</f>
        <v>86408.25</v>
      </c>
      <c r="C15" s="8">
        <f t="shared" si="2"/>
        <v>6237.59</v>
      </c>
      <c r="D15" s="8">
        <f t="shared" si="2"/>
        <v>48269.37</v>
      </c>
      <c r="E15" s="5">
        <f t="shared" si="2"/>
        <v>140915.21</v>
      </c>
    </row>
    <row r="16">
      <c r="A16" s="6"/>
      <c r="B16" s="6"/>
      <c r="C16" s="6"/>
      <c r="D16" s="6"/>
    </row>
    <row r="17">
      <c r="A17" s="6" t="s">
        <v>17</v>
      </c>
      <c r="B17" s="6"/>
      <c r="C17" s="6"/>
      <c r="D17" s="6"/>
    </row>
    <row r="18">
      <c r="A18" s="9" t="s">
        <v>18</v>
      </c>
      <c r="B18" s="6" t="s">
        <v>19</v>
      </c>
      <c r="C18" s="6" t="s">
        <v>20</v>
      </c>
      <c r="D18" s="6" t="s">
        <v>4</v>
      </c>
    </row>
    <row r="19">
      <c r="A19" s="9" t="s">
        <v>21</v>
      </c>
      <c r="B19" s="4">
        <v>95000.0</v>
      </c>
      <c r="C19" s="4">
        <v>25000.0</v>
      </c>
      <c r="D19" s="4">
        <f t="shared" ref="D19:D20" si="3">SUM(B19:C19)</f>
        <v>120000</v>
      </c>
    </row>
    <row r="20">
      <c r="A20" s="9" t="s">
        <v>22</v>
      </c>
      <c r="B20" s="4">
        <v>99000.0</v>
      </c>
      <c r="C20" s="4">
        <v>29000.0</v>
      </c>
      <c r="D20" s="4">
        <f t="shared" si="3"/>
        <v>128000</v>
      </c>
    </row>
    <row r="21">
      <c r="A21" s="9" t="s">
        <v>23</v>
      </c>
      <c r="B21" s="4">
        <v>145000.0</v>
      </c>
      <c r="C21" s="4">
        <v>0.0</v>
      </c>
      <c r="D21" s="4">
        <v>145000.0</v>
      </c>
    </row>
    <row r="22">
      <c r="A22" s="9" t="s">
        <v>24</v>
      </c>
      <c r="B22" s="10">
        <v>130500.0</v>
      </c>
      <c r="C22" s="10">
        <v>32625.0</v>
      </c>
      <c r="D22" s="4">
        <f>SUM(B22:C22)</f>
        <v>163125</v>
      </c>
    </row>
    <row r="23">
      <c r="A23" s="6"/>
      <c r="B23" s="4"/>
      <c r="C23" s="4"/>
      <c r="D23" s="4"/>
    </row>
    <row r="24">
      <c r="A24" s="6" t="s">
        <v>25</v>
      </c>
      <c r="B24" s="4"/>
      <c r="C24" s="4"/>
      <c r="D24" s="4"/>
    </row>
    <row r="25">
      <c r="A25" s="6" t="s">
        <v>18</v>
      </c>
      <c r="B25" s="4" t="s">
        <v>19</v>
      </c>
      <c r="C25" s="4"/>
      <c r="D25" s="4" t="s">
        <v>4</v>
      </c>
    </row>
    <row r="26">
      <c r="A26" s="9" t="s">
        <v>26</v>
      </c>
      <c r="B26" s="4">
        <v>61900.0</v>
      </c>
      <c r="C26" s="4"/>
      <c r="D26" s="4">
        <f t="shared" ref="D26:D27" si="4">SUM(B26:C26)</f>
        <v>61900</v>
      </c>
    </row>
    <row r="27">
      <c r="A27" s="9" t="s">
        <v>24</v>
      </c>
      <c r="B27" s="4">
        <v>63300.0</v>
      </c>
      <c r="C27" s="4"/>
      <c r="D27" s="4">
        <f t="shared" si="4"/>
        <v>63300</v>
      </c>
    </row>
    <row r="28">
      <c r="A28" s="6"/>
      <c r="B28" s="6"/>
      <c r="C28" s="6"/>
      <c r="D28" s="11"/>
    </row>
    <row r="32">
      <c r="A32" s="2" t="s">
        <v>27</v>
      </c>
    </row>
    <row r="33">
      <c r="A33" s="2">
        <v>1.0</v>
      </c>
      <c r="B33" s="6" t="s">
        <v>28</v>
      </c>
    </row>
    <row r="34">
      <c r="A34" s="2">
        <v>2.0</v>
      </c>
      <c r="B34" s="6" t="s">
        <v>29</v>
      </c>
    </row>
    <row r="35">
      <c r="A35" s="2">
        <v>3.0</v>
      </c>
      <c r="B35" s="6" t="s">
        <v>30</v>
      </c>
    </row>
    <row r="36">
      <c r="A36" s="2">
        <v>4.0</v>
      </c>
      <c r="B36" s="6" t="s">
        <v>31</v>
      </c>
    </row>
    <row r="37">
      <c r="A37" s="2">
        <v>5.0</v>
      </c>
      <c r="B37" s="6" t="s">
        <v>32</v>
      </c>
    </row>
    <row r="38">
      <c r="A38" s="2">
        <v>6.0</v>
      </c>
      <c r="B38" s="6" t="s">
        <v>33</v>
      </c>
    </row>
    <row r="39">
      <c r="A39" s="2">
        <v>7.0</v>
      </c>
      <c r="B39" s="6" t="s">
        <v>34</v>
      </c>
    </row>
    <row r="40">
      <c r="A40" s="2">
        <v>8.0</v>
      </c>
      <c r="B40" s="6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  <col customWidth="1" min="2" max="2" width="30.63"/>
    <col customWidth="1" min="4" max="4" width="14.75"/>
    <col customWidth="1" min="5" max="5" width="14.25"/>
    <col customWidth="1" min="6" max="7" width="13.88"/>
    <col customWidth="1" min="11" max="11" width="20.0"/>
  </cols>
  <sheetData>
    <row r="1">
      <c r="A1" s="12" t="s">
        <v>36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>
      <c r="A2" s="2" t="s">
        <v>47</v>
      </c>
      <c r="B2" s="2" t="s">
        <v>48</v>
      </c>
      <c r="C2" s="14">
        <v>9647.52</v>
      </c>
      <c r="D2" s="14">
        <v>54.4</v>
      </c>
      <c r="E2" s="14">
        <v>525.0</v>
      </c>
      <c r="F2" s="14">
        <v>9303.72</v>
      </c>
      <c r="G2" s="14">
        <v>2103.5</v>
      </c>
      <c r="H2" s="5">
        <f>F2-G2</f>
        <v>7200.22</v>
      </c>
      <c r="I2" s="14">
        <v>8487.72</v>
      </c>
      <c r="J2" s="15">
        <v>46419.0</v>
      </c>
      <c r="K2" s="2" t="s">
        <v>49</v>
      </c>
    </row>
    <row r="3">
      <c r="A3" s="2" t="s">
        <v>50</v>
      </c>
      <c r="B3" s="2" t="s">
        <v>51</v>
      </c>
      <c r="C3" s="14">
        <v>3524.47</v>
      </c>
      <c r="D3" s="14">
        <v>35.0</v>
      </c>
      <c r="E3" s="14"/>
      <c r="F3" s="14">
        <v>1728.04</v>
      </c>
      <c r="G3" s="14"/>
      <c r="I3" s="14">
        <v>1728.04</v>
      </c>
      <c r="J3" s="15">
        <v>46478.0</v>
      </c>
      <c r="K3" s="2" t="s">
        <v>49</v>
      </c>
    </row>
    <row r="4">
      <c r="A4" s="2" t="s">
        <v>52</v>
      </c>
      <c r="B4" s="2" t="s">
        <v>53</v>
      </c>
      <c r="C4" s="14">
        <v>5907.78</v>
      </c>
      <c r="F4" s="14">
        <v>5907.78</v>
      </c>
      <c r="G4" s="14"/>
      <c r="I4" s="14"/>
    </row>
    <row r="5">
      <c r="A5" s="12" t="s">
        <v>54</v>
      </c>
      <c r="C5" s="5">
        <f>SUM(C2:C4)</f>
        <v>19079.77</v>
      </c>
      <c r="F5" s="5">
        <f>SUM(F2:F4)</f>
        <v>16939.54</v>
      </c>
      <c r="I5" s="14"/>
    </row>
    <row r="6">
      <c r="I6" s="14"/>
    </row>
    <row r="8">
      <c r="A8" s="12" t="s">
        <v>55</v>
      </c>
    </row>
    <row r="9">
      <c r="A9" s="2" t="s">
        <v>56</v>
      </c>
      <c r="B9" s="2" t="s">
        <v>48</v>
      </c>
      <c r="C9" s="14">
        <v>20376.16</v>
      </c>
      <c r="D9" s="5"/>
      <c r="E9" s="5"/>
      <c r="F9" s="5"/>
      <c r="G9" s="5"/>
      <c r="K9" s="2" t="s">
        <v>57</v>
      </c>
    </row>
    <row r="10">
      <c r="A10" s="2" t="s">
        <v>56</v>
      </c>
      <c r="B10" s="2" t="s">
        <v>58</v>
      </c>
      <c r="C10" s="14">
        <v>20376.16</v>
      </c>
      <c r="D10" s="5"/>
      <c r="E10" s="5"/>
      <c r="F10" s="5"/>
      <c r="G10" s="5"/>
      <c r="K10" s="2" t="s">
        <v>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13.13"/>
    <col customWidth="1" min="4" max="4" width="11.63"/>
    <col customWidth="1" min="5" max="5" width="14.5"/>
    <col customWidth="1" min="6" max="6" width="16.0"/>
    <col customWidth="1" min="7" max="7" width="15.0"/>
    <col customWidth="1" min="8" max="8" width="14.75"/>
    <col customWidth="1" min="9" max="9" width="13.75"/>
    <col customWidth="1" min="10" max="10" width="19.0"/>
    <col customWidth="1" min="11" max="11" width="20.88"/>
    <col customWidth="1" min="12" max="12" width="18.88"/>
    <col customWidth="1" min="13" max="13" width="18.25"/>
    <col customWidth="1" min="14" max="14" width="14.38"/>
    <col customWidth="1" min="39" max="39" width="13.88"/>
  </cols>
  <sheetData>
    <row r="1">
      <c r="A1" s="12" t="s">
        <v>13</v>
      </c>
      <c r="B1" s="16" t="s">
        <v>60</v>
      </c>
      <c r="C1" s="2" t="s">
        <v>61</v>
      </c>
      <c r="D1" s="2" t="s">
        <v>62</v>
      </c>
      <c r="E1" s="2" t="s">
        <v>63</v>
      </c>
      <c r="F1" s="17" t="s">
        <v>64</v>
      </c>
      <c r="G1" s="17" t="s">
        <v>65</v>
      </c>
      <c r="H1" s="17" t="s">
        <v>66</v>
      </c>
      <c r="I1" s="17" t="s">
        <v>67</v>
      </c>
      <c r="J1" s="17" t="s">
        <v>68</v>
      </c>
      <c r="K1" s="17" t="s">
        <v>69</v>
      </c>
      <c r="L1" s="17" t="s">
        <v>70</v>
      </c>
      <c r="M1" s="17" t="s">
        <v>71</v>
      </c>
      <c r="N1" s="17" t="s">
        <v>72</v>
      </c>
      <c r="O1" s="17" t="s">
        <v>73</v>
      </c>
      <c r="P1" s="17" t="s">
        <v>74</v>
      </c>
      <c r="Q1" s="17" t="s">
        <v>75</v>
      </c>
      <c r="R1" s="17" t="s">
        <v>76</v>
      </c>
      <c r="S1" s="17" t="s">
        <v>77</v>
      </c>
      <c r="T1" s="17" t="s">
        <v>78</v>
      </c>
      <c r="U1" s="17" t="s">
        <v>79</v>
      </c>
      <c r="V1" s="17" t="s">
        <v>80</v>
      </c>
      <c r="W1" s="17" t="s">
        <v>81</v>
      </c>
      <c r="X1" s="17" t="s">
        <v>82</v>
      </c>
      <c r="Y1" s="17" t="s">
        <v>62</v>
      </c>
      <c r="Z1" s="17" t="s">
        <v>83</v>
      </c>
      <c r="AA1" s="17" t="s">
        <v>84</v>
      </c>
      <c r="AB1" s="17" t="s">
        <v>85</v>
      </c>
      <c r="AC1" s="17" t="s">
        <v>86</v>
      </c>
      <c r="AD1" s="17" t="s">
        <v>87</v>
      </c>
      <c r="AE1" s="17" t="s">
        <v>88</v>
      </c>
      <c r="AF1" s="17" t="s">
        <v>89</v>
      </c>
      <c r="AG1" s="17" t="s">
        <v>90</v>
      </c>
      <c r="AH1" s="17" t="s">
        <v>91</v>
      </c>
      <c r="AI1" s="17" t="s">
        <v>92</v>
      </c>
      <c r="AJ1" s="17" t="s">
        <v>93</v>
      </c>
      <c r="AK1" s="17" t="s">
        <v>94</v>
      </c>
      <c r="AL1" s="17" t="s">
        <v>95</v>
      </c>
      <c r="AM1" s="17" t="s">
        <v>96</v>
      </c>
      <c r="AN1" s="17" t="s">
        <v>97</v>
      </c>
    </row>
    <row r="2">
      <c r="A2" s="2" t="s">
        <v>5</v>
      </c>
      <c r="B2" s="18">
        <v>0.0</v>
      </c>
      <c r="C2" s="19">
        <f>'Jan-2025'!B19</f>
        <v>229.3</v>
      </c>
      <c r="D2" s="19">
        <f>'Jan-2025'!B18</f>
        <v>184.62</v>
      </c>
      <c r="E2" s="19">
        <f>'Jan-2025'!B13</f>
        <v>0</v>
      </c>
      <c r="F2" s="19">
        <f>'Jan-2025'!B10</f>
        <v>1711.29</v>
      </c>
      <c r="G2" s="19">
        <f>'Jan-2025'!B11</f>
        <v>39.64</v>
      </c>
      <c r="H2" s="19">
        <f>'Jan-2025'!B15</f>
        <v>39.55</v>
      </c>
      <c r="I2" s="19">
        <f>'Jan-2025'!B17</f>
        <v>526.15</v>
      </c>
      <c r="J2" s="19">
        <f>'Jan-2025'!B14</f>
        <v>161.78</v>
      </c>
      <c r="K2" s="19">
        <f>'Jan-2025'!B12</f>
        <v>211.95</v>
      </c>
      <c r="L2" s="19">
        <f>'Jan-2025'!B16</f>
        <v>220.92</v>
      </c>
      <c r="M2" s="19">
        <f>'Jan-2025'!B20</f>
        <v>317.16</v>
      </c>
      <c r="N2" s="19">
        <f t="shared" ref="N2:N3" si="1">0</f>
        <v>0</v>
      </c>
      <c r="O2" s="5">
        <f>'Jan-2025 (CC)'!G8</f>
        <v>97.41</v>
      </c>
      <c r="P2" s="5">
        <f>'Jan-2025 (CC)'!G9</f>
        <v>359.31</v>
      </c>
      <c r="Q2" s="5">
        <f>'Jan-2025 (CC)'!G10</f>
        <v>19</v>
      </c>
      <c r="R2" s="19">
        <v>0.0</v>
      </c>
      <c r="S2" s="19">
        <f>'Jan-2025 (CC)'!G11</f>
        <v>250</v>
      </c>
      <c r="T2" s="19">
        <f>0</f>
        <v>0</v>
      </c>
      <c r="U2" s="5">
        <f>'Jan-2025 (CC)'!G12</f>
        <v>278.2</v>
      </c>
      <c r="V2" s="5">
        <f>'Jan-2025 (CC)'!G13</f>
        <v>714.49</v>
      </c>
      <c r="W2" s="5">
        <f>'Jan-2025 (CC)'!G14</f>
        <v>461.95</v>
      </c>
      <c r="X2" s="5">
        <f>'Jan-2025 (CC)'!G15</f>
        <v>237.35</v>
      </c>
      <c r="Y2" s="5">
        <f>'Jan-2025 (CC)'!G16</f>
        <v>172.5</v>
      </c>
      <c r="Z2" s="5">
        <f>'Jan-2025 (CC)'!G17</f>
        <v>159.89</v>
      </c>
      <c r="AA2" s="5">
        <f>'Jan-2025 (CC)'!G18</f>
        <v>1332.16</v>
      </c>
      <c r="AB2" s="5">
        <f>'Jan-2025 (CC)'!G19</f>
        <v>299.64</v>
      </c>
      <c r="AC2" s="5">
        <f>'Jan-2025 (CC)'!G20</f>
        <v>478.95</v>
      </c>
      <c r="AD2" s="5">
        <f>'Jan-2025 (CC)'!G21</f>
        <v>70.11</v>
      </c>
      <c r="AE2" s="5">
        <f>'Jan-2025 (CC)'!G22</f>
        <v>1773.15</v>
      </c>
      <c r="AF2" s="5">
        <f>'Jan-2025 (CC)'!G25</f>
        <v>72.22</v>
      </c>
      <c r="AG2" s="5">
        <f>'Jan-2025 (CC)'!G27</f>
        <v>714.53</v>
      </c>
      <c r="AH2" s="5">
        <f>'Jan-2025 (CC)'!G28</f>
        <v>119.68</v>
      </c>
      <c r="AI2" s="5">
        <f>'Jan-2025 (CC)'!G30</f>
        <v>20.22</v>
      </c>
      <c r="AJ2" s="5">
        <f>'Jan-2025 (CC)'!G31</f>
        <v>178.7</v>
      </c>
      <c r="AK2" s="5">
        <f>'Jan-2025 (CC)'!G33</f>
        <v>2529.24</v>
      </c>
      <c r="AL2" s="5">
        <f>'Jan-2025 (CC)'!G34</f>
        <v>13.32</v>
      </c>
      <c r="AM2" s="19">
        <f>0</f>
        <v>0</v>
      </c>
      <c r="AN2" s="5">
        <f>'Jan-2025 (CC)'!G35</f>
        <v>14.68</v>
      </c>
    </row>
    <row r="3">
      <c r="A3" s="2" t="s">
        <v>6</v>
      </c>
      <c r="B3" s="18">
        <v>1047.0</v>
      </c>
      <c r="C3" s="19">
        <f>'Feb-2025'!B19</f>
        <v>258.4</v>
      </c>
      <c r="D3" s="19">
        <f>'Feb-2025'!B18</f>
        <v>125.71</v>
      </c>
      <c r="E3" s="19">
        <f>'Feb-2025'!B13</f>
        <v>0</v>
      </c>
      <c r="F3" s="19">
        <f>'Feb-2025'!B10</f>
        <v>1711.29</v>
      </c>
      <c r="G3" s="19">
        <f>'Feb-2025'!B11</f>
        <v>39.64</v>
      </c>
      <c r="H3" s="19">
        <f>'Feb-2025'!B15</f>
        <v>39.55</v>
      </c>
      <c r="I3" s="19">
        <f>'Feb-2025'!B17</f>
        <v>110.13</v>
      </c>
      <c r="J3" s="19">
        <f>'Feb-2025'!B14</f>
        <v>161.78</v>
      </c>
      <c r="K3" s="19">
        <f>'Feb-2025'!B12</f>
        <v>211.95</v>
      </c>
      <c r="L3" s="19">
        <f>'Feb-2025'!B16</f>
        <v>236.5</v>
      </c>
      <c r="M3" s="19">
        <f>'Feb-2025'!B20</f>
        <v>317.16</v>
      </c>
      <c r="N3" s="19">
        <f t="shared" si="1"/>
        <v>0</v>
      </c>
      <c r="O3" s="5">
        <f>'Feb-2025 (CC)'!G8</f>
        <v>156.99</v>
      </c>
      <c r="P3" s="5">
        <f>'Feb-2025 (CC)'!G9</f>
        <v>165.5</v>
      </c>
      <c r="Q3" s="5">
        <f>'Feb-2025 (CC)'!G10</f>
        <v>19</v>
      </c>
      <c r="R3" s="19">
        <f>0</f>
        <v>0</v>
      </c>
      <c r="S3" s="19">
        <f>'Feb-2025 (CC)'!G11</f>
        <v>50</v>
      </c>
      <c r="T3" s="19">
        <f>'Feb-2025 (CC)'!G12</f>
        <v>421.75</v>
      </c>
      <c r="U3" s="5">
        <f>'Feb-2025 (CC)'!G13</f>
        <v>35.3</v>
      </c>
      <c r="V3" s="5">
        <f>'Feb-2025 (CC)'!G14</f>
        <v>527.15</v>
      </c>
      <c r="W3" s="5">
        <f>'Feb-2025 (CC)'!G15</f>
        <v>135.32</v>
      </c>
      <c r="X3" s="5">
        <f>'Feb-2025 (CC)'!G16</f>
        <v>198.05</v>
      </c>
      <c r="Y3" s="5">
        <f>'Feb-2025 (CC)'!G17</f>
        <v>122.44</v>
      </c>
      <c r="Z3" s="5">
        <f>'Feb-2025 (CC)'!G18</f>
        <v>103.95</v>
      </c>
      <c r="AA3" s="5">
        <f>'Feb-2025 (CC)'!G19</f>
        <v>684.78</v>
      </c>
      <c r="AB3" s="5">
        <f>'Feb-2025 (CC)'!G20</f>
        <v>323.22</v>
      </c>
      <c r="AC3" s="5">
        <f>'Feb-2025 (CC)'!G21</f>
        <v>101.68</v>
      </c>
      <c r="AD3" s="5">
        <f>'Feb-2025 (CC)'!G23</f>
        <v>80.1</v>
      </c>
      <c r="AE3" s="5">
        <f>'Feb-2025 (CC)'!G24</f>
        <v>170.12</v>
      </c>
      <c r="AF3" s="5">
        <f>'Feb-2025 (CC)'!G27</f>
        <v>129.9</v>
      </c>
      <c r="AG3" s="5">
        <f>'Feb-2025 (CC)'!G29</f>
        <v>539.18</v>
      </c>
      <c r="AH3" s="5">
        <f>'Feb-2025 (CC)'!G30</f>
        <v>154.71</v>
      </c>
      <c r="AI3" s="5">
        <f>'Feb-2025 (CC)'!G32</f>
        <v>20.22</v>
      </c>
      <c r="AJ3" s="5">
        <f>'Feb-2025 (CC)'!G33</f>
        <v>533.34</v>
      </c>
      <c r="AK3" s="5">
        <f>'Feb-2025 (CC)'!G35</f>
        <v>1488.89</v>
      </c>
      <c r="AL3" s="5">
        <f>'Feb-2025 (CC)'!G36</f>
        <v>44.09</v>
      </c>
      <c r="AM3" s="19">
        <f>'Feb-2025 (CC)'!G37</f>
        <v>380.31</v>
      </c>
      <c r="AN3" s="5">
        <f>'Feb-2025 (CC)'!G38</f>
        <v>14.68</v>
      </c>
    </row>
    <row r="4">
      <c r="A4" s="2" t="s">
        <v>7</v>
      </c>
      <c r="B4" s="18">
        <v>1046.13</v>
      </c>
      <c r="C4" s="19">
        <f>'Mar-2025'!B19</f>
        <v>257.58</v>
      </c>
      <c r="D4" s="19">
        <f>'Mar-2025'!B18</f>
        <v>173.47</v>
      </c>
      <c r="E4" s="19">
        <f>'Apr-2025'!B13</f>
        <v>0</v>
      </c>
      <c r="F4" s="19">
        <f>'Mar-2025'!B10</f>
        <v>1711.29</v>
      </c>
      <c r="G4" s="19">
        <f>'Mar-2025'!B11</f>
        <v>39.64</v>
      </c>
      <c r="H4" s="19">
        <f>'Mar-2025'!B15</f>
        <v>39.55</v>
      </c>
      <c r="I4" s="19">
        <f>'Mar-2025'!B17</f>
        <v>293.64</v>
      </c>
      <c r="J4" s="19">
        <f>'Mar-2025'!B14</f>
        <v>161.78</v>
      </c>
      <c r="K4" s="19">
        <f>'Mar-2025'!B12</f>
        <v>211.95</v>
      </c>
      <c r="L4" s="19">
        <f>'Mar-2025'!B16</f>
        <v>220.92</v>
      </c>
      <c r="M4" s="19">
        <f>'Mar-2025'!B20</f>
        <v>317.16</v>
      </c>
      <c r="N4" s="19">
        <f>'Mar-2025 (CC)'!G17</f>
        <v>210.17</v>
      </c>
      <c r="O4" s="5">
        <f>'Mar-2025 (CC)'!G18</f>
        <v>227.07</v>
      </c>
      <c r="P4" s="5">
        <f>'Mar-2025 (CC)'!G19</f>
        <v>284.47</v>
      </c>
      <c r="Q4" s="19">
        <v>0.0</v>
      </c>
      <c r="R4" s="19">
        <v>0.0</v>
      </c>
      <c r="S4" s="19">
        <f>'Mar-2025 (CC)'!G20</f>
        <v>50</v>
      </c>
      <c r="T4" s="19">
        <f>'Mar-2025 (CC)'!G21</f>
        <v>350.3</v>
      </c>
      <c r="U4" s="5">
        <f>'Mar-2025 (CC)'!G22</f>
        <v>277.56</v>
      </c>
      <c r="V4" s="5">
        <f>'Mar-2025 (CC)'!G23</f>
        <v>540.52</v>
      </c>
      <c r="W4" s="5">
        <f>'Mar-2025 (CC)'!G24</f>
        <v>516.07</v>
      </c>
      <c r="X4" s="5">
        <f>'Mar-2025 (CC)'!G25</f>
        <v>131.68</v>
      </c>
      <c r="Y4" s="5">
        <f>'Mar-2025 (CC)'!G26</f>
        <v>56.6</v>
      </c>
      <c r="Z4" s="5">
        <f>'Mar-2025 (CC)'!G27</f>
        <v>150</v>
      </c>
      <c r="AA4" s="5">
        <f>'Mar-2025 (CC)'!G28</f>
        <v>1396.3</v>
      </c>
      <c r="AB4" s="5">
        <f>'Mar-2025 (CC)'!G29</f>
        <v>44.36</v>
      </c>
      <c r="AC4" s="5">
        <f>'Mar-2025 (CC)'!G30</f>
        <v>135.64</v>
      </c>
      <c r="AD4" s="18">
        <f>0</f>
        <v>0</v>
      </c>
      <c r="AE4" s="5">
        <f>'Mar-2025 (CC)'!G31</f>
        <v>1917.84</v>
      </c>
      <c r="AF4" s="18">
        <f>0</f>
        <v>0</v>
      </c>
      <c r="AG4" s="5">
        <f>'Mar-2025 (CC)'!G35</f>
        <v>645.63</v>
      </c>
      <c r="AH4" s="5">
        <f>'Mar-2025 (CC)'!G36</f>
        <v>77.9</v>
      </c>
      <c r="AI4" s="5">
        <f>'Mar-2025 (CC)'!G38</f>
        <v>20.22</v>
      </c>
      <c r="AJ4" s="5">
        <f>'Mar-2025 (CC)'!G39</f>
        <v>435.68</v>
      </c>
      <c r="AK4" s="5">
        <f>'Mar-2025 (CC)'!G41</f>
        <v>3679.9</v>
      </c>
      <c r="AL4" s="5">
        <f>'Mar-2025 (CC)'!G42</f>
        <v>34.8</v>
      </c>
      <c r="AM4" s="19">
        <f t="shared" ref="AM4:AN4" si="2">0</f>
        <v>0</v>
      </c>
      <c r="AN4" s="19">
        <f t="shared" si="2"/>
        <v>0</v>
      </c>
    </row>
    <row r="5">
      <c r="A5" s="2" t="s">
        <v>8</v>
      </c>
      <c r="B5" s="18">
        <v>0.0</v>
      </c>
      <c r="C5" s="19">
        <f>'Apr-2025'!B19</f>
        <v>193.49</v>
      </c>
      <c r="D5" s="19">
        <f>'Apr-2025'!B18</f>
        <v>75.41</v>
      </c>
      <c r="E5" s="19">
        <f>'Apr-2025'!B13</f>
        <v>0</v>
      </c>
      <c r="F5" s="19">
        <f>'Apr-2025'!B10</f>
        <v>1711.29</v>
      </c>
      <c r="G5" s="19">
        <f>'Apr-2025'!B11</f>
        <v>39.64</v>
      </c>
      <c r="H5" s="19">
        <f>'Apr-2025'!B15</f>
        <v>45.2</v>
      </c>
      <c r="I5" s="19">
        <f>'Apr-2025'!B17</f>
        <v>141.32</v>
      </c>
      <c r="J5" s="19">
        <f>'Apr-2025'!B14</f>
        <v>153.15</v>
      </c>
      <c r="K5" s="19">
        <f>'Apr-2025'!B12</f>
        <v>211.95</v>
      </c>
      <c r="L5" s="19">
        <f>'Apr-2025'!B16</f>
        <v>236.5</v>
      </c>
      <c r="M5" s="19">
        <f>'Apr-2025'!B21</f>
        <v>317.16</v>
      </c>
      <c r="N5" s="19">
        <f>'Apr-2025 (CC)'!G5</f>
        <v>52.35</v>
      </c>
      <c r="O5" s="5">
        <f>'Apr-2025 (CC)'!G6</f>
        <v>133.26</v>
      </c>
      <c r="P5" s="19">
        <f>'Apr-2025 (CC)'!G7</f>
        <v>276.17</v>
      </c>
      <c r="Q5" s="5">
        <f>'Apr-2025 (CC)'!G8</f>
        <v>38</v>
      </c>
      <c r="R5" s="19">
        <f>'Apr-2025 (CC)'!G9</f>
        <v>1900.12</v>
      </c>
      <c r="S5" s="18">
        <f>0</f>
        <v>0</v>
      </c>
      <c r="T5" s="19">
        <f>'Apr-2025 (CC)'!G10</f>
        <v>394.98</v>
      </c>
      <c r="U5" s="5">
        <f>'Apr-2025 (CC)'!G11</f>
        <v>290.77</v>
      </c>
      <c r="V5" s="5">
        <f>'Apr-2025 (CC)'!G12</f>
        <v>524.95</v>
      </c>
      <c r="W5" s="5">
        <f>'Apr-2025 (CC)'!G13</f>
        <v>216.58</v>
      </c>
      <c r="X5" s="5">
        <f>'Apr-2025 (CC)'!G14</f>
        <v>980.01</v>
      </c>
      <c r="Y5" s="5">
        <f>'Apr-2025 (CC)'!G15</f>
        <v>130.62</v>
      </c>
      <c r="Z5" s="5">
        <f>'Apr-2025 (CC)'!G16</f>
        <v>730.3</v>
      </c>
      <c r="AA5" s="5">
        <f>'Apr-2025 (CC)'!G17</f>
        <v>1202.29</v>
      </c>
      <c r="AB5" s="5">
        <f>'Apr-2025 (CC)'!G18</f>
        <v>236.52</v>
      </c>
      <c r="AC5" s="5">
        <f>'Apr-2025 (CC)'!G19</f>
        <v>3043.77</v>
      </c>
      <c r="AD5" s="5">
        <f>'Apr-2025 (CC)'!G22</f>
        <v>127.45</v>
      </c>
      <c r="AE5" s="5">
        <f>'Apr-2025 (CC)'!G23</f>
        <v>473.42</v>
      </c>
      <c r="AF5" s="5">
        <f>'Apr-2025 (CC)'!G25</f>
        <v>99.33</v>
      </c>
      <c r="AG5" s="5">
        <f>'Apr-2025 (CC)'!G27</f>
        <v>718.75</v>
      </c>
      <c r="AH5" s="5">
        <f>'Apr-2025 (CC)'!G28</f>
        <v>144.54</v>
      </c>
      <c r="AI5" s="5">
        <f>'Apr-2025 (CC)'!G30</f>
        <v>20.22</v>
      </c>
      <c r="AJ5" s="5">
        <f>'Apr-2025 (CC)'!G31</f>
        <v>734.2</v>
      </c>
      <c r="AK5" s="5">
        <f>'Apr-2025 (CC)'!G33</f>
        <v>1976.59</v>
      </c>
      <c r="AL5" s="5">
        <f>'Apr-2025 (CC)'!G34</f>
        <v>11.29</v>
      </c>
      <c r="AM5" s="19">
        <f>'Apr-2025 (CC)'!G35</f>
        <v>1069.05</v>
      </c>
      <c r="AN5" s="5">
        <f>'Apr-2025 (CC)'!G36</f>
        <v>29.36</v>
      </c>
    </row>
    <row r="6">
      <c r="A6" s="2" t="s">
        <v>9</v>
      </c>
      <c r="B6" s="18">
        <v>0.0</v>
      </c>
      <c r="C6" s="19">
        <f>'May-2025'!B19</f>
        <v>223.45</v>
      </c>
      <c r="D6" s="19">
        <f>'May-2025'!B18</f>
        <v>68.28</v>
      </c>
      <c r="E6" s="19">
        <f>'May-2025'!B13</f>
        <v>0</v>
      </c>
      <c r="F6" s="19">
        <f>'May-2025'!B10</f>
        <v>1711.29</v>
      </c>
      <c r="G6" s="19">
        <f>'May-2025'!B11</f>
        <v>39.64</v>
      </c>
      <c r="H6" s="18">
        <f>'May-2025'!B15</f>
        <v>45.2</v>
      </c>
      <c r="I6" s="19">
        <f>'May-2025'!B17</f>
        <v>93.86</v>
      </c>
      <c r="J6" s="19">
        <f>'May-2025'!B14</f>
        <v>161.78</v>
      </c>
      <c r="K6" s="19">
        <f>'May-2025'!B12</f>
        <v>211.95</v>
      </c>
      <c r="L6" s="19">
        <f>'May-2025'!B16</f>
        <v>242.75</v>
      </c>
      <c r="M6" s="19">
        <f>'May-2025'!B22</f>
        <v>317.16</v>
      </c>
      <c r="N6" s="19">
        <f>'May-2025 (CC)'!G5</f>
        <v>429.07</v>
      </c>
      <c r="O6" s="5">
        <f>'May-2025 (CC)'!G6</f>
        <v>107.29</v>
      </c>
      <c r="P6" s="5">
        <f>'May-2025 (CC)'!G7</f>
        <v>265.16</v>
      </c>
      <c r="Q6" s="5">
        <f>'May-2025 (CC)'!G8</f>
        <v>19</v>
      </c>
      <c r="R6" s="18">
        <v>0.0</v>
      </c>
      <c r="S6" s="5">
        <f>'May-2025 (CC)'!G9</f>
        <v>50</v>
      </c>
      <c r="T6" s="5">
        <f>'May-2025 (CC)'!G10</f>
        <v>355.67</v>
      </c>
      <c r="U6" s="5">
        <f>'May-2025 (CC)'!G11</f>
        <v>355.83</v>
      </c>
      <c r="V6" s="5">
        <f>'May-2025 (CC)'!G12</f>
        <v>637.49</v>
      </c>
      <c r="W6" s="5">
        <f>'May-2025 (CC)'!G13</f>
        <v>393.17</v>
      </c>
      <c r="X6" s="5">
        <f>'May-2025 (CC)'!G14</f>
        <v>48.12</v>
      </c>
      <c r="Y6" s="5">
        <f>'May-2025 (CC)'!G15</f>
        <v>99</v>
      </c>
      <c r="Z6" s="5">
        <f>'May-2025 (CC)'!G16</f>
        <v>134.23</v>
      </c>
      <c r="AA6" s="5">
        <f>'May-2025 (CC)'!G17</f>
        <v>1326.4</v>
      </c>
      <c r="AB6" s="5">
        <f>'May-2025 (CC)'!G18</f>
        <v>146.82</v>
      </c>
      <c r="AC6" s="5">
        <f>'May-2025 (CC)'!G19</f>
        <v>1081.6</v>
      </c>
      <c r="AD6" s="5">
        <f>'May-2025 (CC)'!G22</f>
        <v>58.04</v>
      </c>
      <c r="AE6" s="5">
        <f>'May-2025 (CC)'!G23</f>
        <v>1211.11</v>
      </c>
      <c r="AF6" s="5">
        <f>'May-2025 (CC)'!G26</f>
        <v>143.46</v>
      </c>
      <c r="AG6" s="5">
        <f>'May-2025 (CC)'!G28</f>
        <v>546.85</v>
      </c>
      <c r="AH6" s="5">
        <f>'May-2025 (CC)'!G29</f>
        <v>105</v>
      </c>
      <c r="AI6" s="5">
        <f>'May-2025 (CC)'!G31</f>
        <v>20.22</v>
      </c>
      <c r="AJ6" s="5">
        <f>'May-2025 (CC)'!G32</f>
        <v>439</v>
      </c>
      <c r="AK6" s="5">
        <f>'May-2025 (CC)'!G34</f>
        <v>5191.25</v>
      </c>
      <c r="AL6" s="5">
        <f>'May-2025 (CC)'!G35</f>
        <v>18.92</v>
      </c>
      <c r="AM6" s="19">
        <f>'May-2025 (CC)'!G36</f>
        <v>282.9</v>
      </c>
      <c r="AN6" s="5">
        <f>'May-2025 (CC)'!G37</f>
        <v>14.68</v>
      </c>
    </row>
    <row r="7">
      <c r="A7" s="2" t="s">
        <v>10</v>
      </c>
      <c r="B7" s="18">
        <v>1029.0</v>
      </c>
      <c r="C7" s="19">
        <f>'Jun-2025'!B19</f>
        <v>207.16</v>
      </c>
      <c r="D7" s="19">
        <f>'Jun-2025'!B18</f>
        <v>0</v>
      </c>
      <c r="E7" s="19">
        <f>'Jun-2025'!B13</f>
        <v>56.5</v>
      </c>
      <c r="F7" s="19">
        <f>'Jun-2025'!B10</f>
        <v>1711.29</v>
      </c>
      <c r="G7" s="19">
        <f>'Jun-2025'!B11</f>
        <v>115.65</v>
      </c>
      <c r="H7" s="18">
        <f>'Jun-2025'!B15</f>
        <v>45.2</v>
      </c>
      <c r="I7" s="19">
        <f>'Jun-2025'!B17</f>
        <v>93.86</v>
      </c>
      <c r="J7" s="19">
        <f>'Jun-2025'!B14</f>
        <v>161.78</v>
      </c>
      <c r="K7" s="18">
        <f>'Jun-2025'!B12</f>
        <v>211.95</v>
      </c>
      <c r="L7" s="19">
        <f>'Jun-2025'!B16</f>
        <v>242.75</v>
      </c>
      <c r="M7" s="19">
        <f>'Jun-2025'!B20</f>
        <v>317.16</v>
      </c>
      <c r="N7" s="19">
        <f>'Jun-2025 (CC)'!G5</f>
        <v>210.1</v>
      </c>
      <c r="O7" s="5">
        <f>'Jun-2025 (CC)'!G6</f>
        <v>235.42</v>
      </c>
      <c r="P7" s="5">
        <f>'Jun-2025 (CC)'!G6</f>
        <v>235.42</v>
      </c>
      <c r="R7" s="18">
        <v>0.0</v>
      </c>
      <c r="S7" s="5">
        <f>'Jun-2025 (CC)'!G7</f>
        <v>50</v>
      </c>
      <c r="T7" s="18">
        <v>0.0</v>
      </c>
      <c r="U7" s="5">
        <f>'Jun-2025 (CC)'!G10</f>
        <v>180.78</v>
      </c>
      <c r="V7" s="5">
        <f>'Jun-2025 (CC)'!G9</f>
        <v>316.25</v>
      </c>
      <c r="W7" s="18">
        <f t="shared" ref="W7:W8" si="4">0</f>
        <v>0</v>
      </c>
      <c r="X7" s="5">
        <f>'Jun-2025 (CC)'!G11</f>
        <v>591.16</v>
      </c>
      <c r="Y7" s="5">
        <f>'Jun-2025 (CC)'!G12</f>
        <v>284.1</v>
      </c>
      <c r="Z7" s="5">
        <f>'Jun-2025 (CC)'!G13</f>
        <v>22.59</v>
      </c>
      <c r="AA7" s="5">
        <f>'Jun-2025 (CC)'!G16</f>
        <v>696.53</v>
      </c>
      <c r="AB7" s="5">
        <f>'Jun-2025 (CC)'!G15</f>
        <v>245.11</v>
      </c>
      <c r="AC7" s="5">
        <f>'Jun-2025 (CC)'!G16</f>
        <v>696.53</v>
      </c>
      <c r="AD7" s="5">
        <f>'Jun-2025 (CC)'!G19</f>
        <v>8.5</v>
      </c>
      <c r="AE7" s="5">
        <f>'Jun-2025 (CC)'!G22</f>
        <v>166.36</v>
      </c>
      <c r="AF7" s="5">
        <f>'Jun-2025 (CC)'!G22</f>
        <v>166.36</v>
      </c>
      <c r="AG7" s="5">
        <f>'Jun-2025 (CC)'!G24</f>
        <v>254.55</v>
      </c>
      <c r="AH7" s="5">
        <f>'Jun-2025 (CC)'!G25</f>
        <v>194.24</v>
      </c>
      <c r="AI7" s="5">
        <f>'Jun-2025 (CC)'!G27</f>
        <v>20.22</v>
      </c>
      <c r="AJ7" s="5">
        <f>'Jun-2025 (CC)'!G28</f>
        <v>632.42</v>
      </c>
      <c r="AK7" s="5">
        <f>'Jun-2025 (CC)'!G30</f>
        <v>1071.32</v>
      </c>
      <c r="AL7" s="18">
        <f>'Jun-2025 (CC)'!G31</f>
        <v>14.29</v>
      </c>
      <c r="AM7" s="19">
        <f t="shared" ref="AM7:AN7" si="3">0</f>
        <v>0</v>
      </c>
      <c r="AN7" s="18">
        <f t="shared" si="3"/>
        <v>0</v>
      </c>
    </row>
    <row r="8">
      <c r="A8" s="2" t="s">
        <v>11</v>
      </c>
      <c r="B8" s="18">
        <v>0.0</v>
      </c>
      <c r="C8" s="19">
        <f>'Jul-2025'!B18</f>
        <v>248.04</v>
      </c>
      <c r="D8" s="19">
        <f>'Jul-2025'!B17</f>
        <v>25.57</v>
      </c>
      <c r="E8" s="19">
        <f>'Jul-2025'!B12</f>
        <v>56.5</v>
      </c>
      <c r="F8" s="19">
        <f>'Jul-2025'!B10</f>
        <v>1711.29</v>
      </c>
      <c r="G8" s="19">
        <f t="shared" ref="G8:G13" si="6">0</f>
        <v>0</v>
      </c>
      <c r="H8" s="18">
        <f>'Jul-2025'!B14</f>
        <v>45.2</v>
      </c>
      <c r="I8" s="19">
        <f>'Jul-2025 (CC)'!G21</f>
        <v>172.96</v>
      </c>
      <c r="J8" s="19">
        <f>'Jul-2025'!B13</f>
        <v>151.61</v>
      </c>
      <c r="K8" s="19">
        <f>'Jul-2025'!B11</f>
        <v>146.21</v>
      </c>
      <c r="L8" s="19">
        <f>'Jul-2025'!B15</f>
        <v>242.75</v>
      </c>
      <c r="M8" s="19">
        <f>'Jul-2025'!B19</f>
        <v>158.58</v>
      </c>
      <c r="N8" s="19">
        <f>'Jul-2025 (CC)'!G5</f>
        <v>123.12</v>
      </c>
      <c r="O8" s="5">
        <f>'Jul-2025 (CC)'!G6</f>
        <v>245.67</v>
      </c>
      <c r="P8" s="5">
        <f>'Jul-2025 (CC)'!G7</f>
        <v>98.46</v>
      </c>
      <c r="Q8" s="18">
        <v>0.0</v>
      </c>
      <c r="R8" s="18">
        <v>0.0</v>
      </c>
      <c r="S8" s="18">
        <f>'Jul-2025 (CC)'!G9</f>
        <v>50</v>
      </c>
      <c r="T8" s="18">
        <f t="shared" ref="T8:T10" si="8">0</f>
        <v>0</v>
      </c>
      <c r="U8" s="18">
        <f>'Jul-2025 (CC)'!G10</f>
        <v>93.5</v>
      </c>
      <c r="V8" s="18">
        <f>'Jul-2025 (CC)'!G11</f>
        <v>785.77</v>
      </c>
      <c r="W8" s="18">
        <f t="shared" si="4"/>
        <v>0</v>
      </c>
      <c r="X8" s="5">
        <f>'Jul-2025 (CC)'!G12</f>
        <v>306.24</v>
      </c>
      <c r="Y8" s="5">
        <f>'Jul-2025 (CC)'!G13</f>
        <v>263.57</v>
      </c>
      <c r="Z8" s="5">
        <f>'Jul-2025 (CC)'!G14</f>
        <v>36.35</v>
      </c>
      <c r="AA8" s="5">
        <f>'Jul-2025 (CC)'!G15</f>
        <v>797.44</v>
      </c>
      <c r="AB8" s="18">
        <f>'Jul-2025 (CC)'!G16</f>
        <v>8.99</v>
      </c>
      <c r="AC8" s="5">
        <f>'Jul-2025 (CC)'!G17</f>
        <v>125.69</v>
      </c>
      <c r="AD8" s="18">
        <f t="shared" ref="AD8:AD9" si="9">0</f>
        <v>0</v>
      </c>
      <c r="AE8" s="5">
        <f>'Jul-2025 (CC)'!G20</f>
        <v>155.07</v>
      </c>
      <c r="AF8" s="18">
        <f>0</f>
        <v>0</v>
      </c>
      <c r="AG8" s="5">
        <f>'Jul-2025 (CC)'!G23</f>
        <v>591.71</v>
      </c>
      <c r="AH8" s="5">
        <f>'Jul-2025 (CC)'!G24</f>
        <v>41.76</v>
      </c>
      <c r="AI8" s="18">
        <f>'Jul-2025 (CC)'!G25</f>
        <v>20.22</v>
      </c>
      <c r="AJ8" s="5">
        <f>'Jul-2025 (CC)'!G26</f>
        <v>600.01</v>
      </c>
      <c r="AK8" s="5">
        <f>'Jul-2025 (CC)'!G28</f>
        <v>2030.29</v>
      </c>
      <c r="AL8" s="5">
        <f>'Jul-2025 (CC)'!G29</f>
        <v>32.09</v>
      </c>
      <c r="AM8" s="18">
        <f t="shared" ref="AM8:AN8" si="5">0</f>
        <v>0</v>
      </c>
      <c r="AN8" s="18">
        <f t="shared" si="5"/>
        <v>0</v>
      </c>
    </row>
    <row r="9">
      <c r="A9" s="2" t="s">
        <v>12</v>
      </c>
      <c r="B9" s="18">
        <v>1029.0</v>
      </c>
      <c r="C9" s="19">
        <f>'Aug-2025'!B18</f>
        <v>378.68</v>
      </c>
      <c r="D9" s="19">
        <f>'Aug-2025'!B17</f>
        <v>44.34</v>
      </c>
      <c r="E9" s="19">
        <f>'Aug-2025'!B12</f>
        <v>56.5</v>
      </c>
      <c r="F9" s="19">
        <f>'Aug-2025'!B10</f>
        <v>1711.29</v>
      </c>
      <c r="G9" s="19">
        <f t="shared" si="6"/>
        <v>0</v>
      </c>
      <c r="H9" s="18">
        <v>0.0</v>
      </c>
      <c r="I9" s="19">
        <f>'Aug-2025 (CC)'!G20</f>
        <v>118.72</v>
      </c>
      <c r="J9" s="19">
        <f>'Aug-2025'!B13</f>
        <v>151.61</v>
      </c>
      <c r="K9" s="19">
        <f>'Aug-2025'!B11</f>
        <v>146.21</v>
      </c>
      <c r="L9" s="19">
        <f>'Aug-2025'!B15</f>
        <v>242.75</v>
      </c>
      <c r="M9" s="19">
        <f t="shared" ref="M9:M13" si="10">0</f>
        <v>0</v>
      </c>
      <c r="N9" s="19">
        <f>'Aug-2025 (CC)'!G5</f>
        <v>291.34</v>
      </c>
      <c r="O9" s="5">
        <f>'Aug-2025 (CC)'!G6</f>
        <v>86.36</v>
      </c>
      <c r="P9" s="18">
        <f t="shared" ref="P9:Q9" si="7">0</f>
        <v>0</v>
      </c>
      <c r="Q9" s="18">
        <f t="shared" si="7"/>
        <v>0</v>
      </c>
      <c r="R9" s="5">
        <f>'Aug-2025 (CC)'!G7</f>
        <v>15.81</v>
      </c>
      <c r="S9" s="5">
        <f>'Aug-2025 (CC)'!G8</f>
        <v>50</v>
      </c>
      <c r="T9" s="18">
        <f t="shared" si="8"/>
        <v>0</v>
      </c>
      <c r="U9" s="5">
        <f>'Aug-2025 (CC)'!G9</f>
        <v>131.94</v>
      </c>
      <c r="V9" s="5">
        <f>'Aug-2025 (CC)'!G10</f>
        <v>316.21</v>
      </c>
      <c r="W9" s="5">
        <f>'Aug-2025 (CC)'!G11</f>
        <v>45.2</v>
      </c>
      <c r="X9" s="5">
        <f>'Aug-2025 (CC)'!G12</f>
        <v>1075.5</v>
      </c>
      <c r="Y9" s="5">
        <f>'Aug-2025 (CC)'!G13</f>
        <v>186.01</v>
      </c>
      <c r="Z9" s="18">
        <f t="shared" ref="Z9:Z10" si="11">0</f>
        <v>0</v>
      </c>
      <c r="AA9" s="5">
        <f>'Aug-2025 (CC)'!G14</f>
        <v>1165.84</v>
      </c>
      <c r="AB9" s="5">
        <f>'Aug-2025 (CC)'!G15</f>
        <v>135.9</v>
      </c>
      <c r="AC9" s="5">
        <f>'Aug-2025 (CC)'!G16</f>
        <v>233.77</v>
      </c>
      <c r="AD9" s="18">
        <f t="shared" si="9"/>
        <v>0</v>
      </c>
      <c r="AE9" s="5">
        <f>'Aug-2025 (CC)'!G19</f>
        <v>208.99</v>
      </c>
      <c r="AF9" s="5">
        <f>'Aug-2025 (CC)'!G21</f>
        <v>107.35</v>
      </c>
      <c r="AG9" s="5">
        <f>'Aug-2025 (CC)'!G23</f>
        <v>425.4</v>
      </c>
      <c r="AH9" s="5">
        <f>'Aug-2025 (CC)'!G24</f>
        <v>66.61</v>
      </c>
      <c r="AI9" s="5">
        <f>'Aug-2025 (CC)'!G25</f>
        <v>36.02</v>
      </c>
      <c r="AJ9" s="5">
        <f>'Aug-2025 (CC)'!G26</f>
        <v>312.9</v>
      </c>
      <c r="AK9" s="18">
        <f t="shared" ref="AK9:AK10" si="12">0</f>
        <v>0</v>
      </c>
      <c r="AL9" s="5">
        <f>'Aug-2025 (CC)'!G27</f>
        <v>40.09</v>
      </c>
      <c r="AM9" s="19">
        <f>'Aug-2025 (CC)'!G28</f>
        <v>608.89</v>
      </c>
      <c r="AN9" s="18">
        <f>0</f>
        <v>0</v>
      </c>
    </row>
    <row r="10">
      <c r="A10" s="2" t="s">
        <v>13</v>
      </c>
      <c r="B10" s="18">
        <v>0.0</v>
      </c>
      <c r="C10" s="19">
        <f>'Sep-2025'!B18</f>
        <v>346.22</v>
      </c>
      <c r="D10" s="19">
        <f>'Sep-2025'!B17</f>
        <v>40.76</v>
      </c>
      <c r="E10" s="19">
        <f>'Sep-2025'!B12</f>
        <v>56.5</v>
      </c>
      <c r="F10" s="19">
        <f>'Sep-2025'!B10</f>
        <v>1967.98</v>
      </c>
      <c r="G10" s="19">
        <f t="shared" si="6"/>
        <v>0</v>
      </c>
      <c r="H10" s="18">
        <f>'Sep-2025 (CC)'!G22</f>
        <v>91.72</v>
      </c>
      <c r="I10" s="19">
        <f>'Sep-2025 (CC)'!G16</f>
        <v>110.13</v>
      </c>
      <c r="J10" s="19"/>
      <c r="K10" s="18">
        <v>146.21</v>
      </c>
      <c r="L10" s="19">
        <f>'Sep-2025'!B15</f>
        <v>242.75</v>
      </c>
      <c r="M10" s="19">
        <f t="shared" si="10"/>
        <v>0</v>
      </c>
      <c r="N10" s="19">
        <f>'Sep-2025 (CC)'!G5</f>
        <v>15.98</v>
      </c>
      <c r="O10" s="5">
        <f>'Sep-2025 (CC)'!G6</f>
        <v>133.81</v>
      </c>
      <c r="P10" s="18">
        <f t="shared" ref="P10:P11" si="13">0</f>
        <v>0</v>
      </c>
      <c r="R10" s="18">
        <v>0.0</v>
      </c>
      <c r="S10" s="5">
        <f>'Sep-2025 (CC)'!G7</f>
        <v>50</v>
      </c>
      <c r="T10" s="18">
        <f t="shared" si="8"/>
        <v>0</v>
      </c>
      <c r="U10" s="18">
        <f>0</f>
        <v>0</v>
      </c>
      <c r="V10" s="5">
        <f>'Sep-2025 (CC)'!G8</f>
        <v>348.3</v>
      </c>
      <c r="W10" s="18">
        <f>0</f>
        <v>0</v>
      </c>
      <c r="X10" s="5">
        <f>'Sep-2025 (CC)'!G9</f>
        <v>147.11</v>
      </c>
      <c r="Y10" s="5">
        <f>'Sep-2025 (CC)'!G10</f>
        <v>107.5</v>
      </c>
      <c r="Z10" s="18">
        <f t="shared" si="11"/>
        <v>0</v>
      </c>
      <c r="AA10" s="5">
        <f>'Sep-2025 (CC)'!G11</f>
        <v>683.4</v>
      </c>
      <c r="AB10" s="5">
        <f>'Sep-2025 (CC)'!G12</f>
        <v>87.5</v>
      </c>
      <c r="AC10" s="5">
        <f>'Sep-2025 (CC)'!G13</f>
        <v>678</v>
      </c>
      <c r="AE10" s="5">
        <f>'Sep-2025 (CC)'!G15</f>
        <v>677.07</v>
      </c>
      <c r="AF10" s="18">
        <f>0</f>
        <v>0</v>
      </c>
      <c r="AG10" s="5">
        <f>'Sep-2025 (CC)'!G18</f>
        <v>422.55</v>
      </c>
      <c r="AH10" s="5">
        <f>'Sep-2025 (CC)'!G19</f>
        <v>53.05</v>
      </c>
      <c r="AI10" s="5">
        <f>'Sep-2025 (CC)'!G20</f>
        <v>36.02</v>
      </c>
      <c r="AJ10" s="5">
        <f>'Sep-2025 (CC)'!G21</f>
        <v>209.24</v>
      </c>
      <c r="AK10" s="18">
        <f t="shared" si="12"/>
        <v>0</v>
      </c>
      <c r="AL10" s="5">
        <f>'Sep-2025 (CC)'!G23</f>
        <v>58.26</v>
      </c>
      <c r="AM10" s="19">
        <f t="shared" ref="AM10:AM13" si="14">0</f>
        <v>0</v>
      </c>
    </row>
    <row r="11">
      <c r="A11" s="2" t="s">
        <v>14</v>
      </c>
      <c r="B11" s="18">
        <v>1028.93</v>
      </c>
      <c r="C11" s="19">
        <f>'Oct-2025'!B18</f>
        <v>291.71</v>
      </c>
      <c r="D11" s="19">
        <f>'Oct-2025'!B17</f>
        <v>38.45</v>
      </c>
      <c r="E11" s="19">
        <f>'Oct-2025'!B12</f>
        <v>56.5</v>
      </c>
      <c r="F11" s="19">
        <f>'Oct-2025'!B10</f>
        <v>1967.98</v>
      </c>
      <c r="G11" s="19">
        <f t="shared" si="6"/>
        <v>0</v>
      </c>
      <c r="H11" s="18">
        <f>'Oct-2025 (CC)'!G28</f>
        <v>45.2</v>
      </c>
      <c r="I11" s="19">
        <f>'Oct-2025 (CC)'!G21</f>
        <v>93.86</v>
      </c>
      <c r="J11" s="19"/>
      <c r="K11" s="18">
        <v>146.21</v>
      </c>
      <c r="L11" s="19">
        <f>'Oct-2025'!B15</f>
        <v>257.21</v>
      </c>
      <c r="M11" s="19">
        <f t="shared" si="10"/>
        <v>0</v>
      </c>
      <c r="N11" s="19">
        <f>'Oct-2025 (CC)'!G5</f>
        <v>172.94</v>
      </c>
      <c r="O11" s="5">
        <f>'Oct-2025 (CC)'!G6</f>
        <v>43.44</v>
      </c>
      <c r="P11" s="18">
        <f t="shared" si="13"/>
        <v>0</v>
      </c>
      <c r="R11" s="18">
        <v>0.0</v>
      </c>
      <c r="S11" s="5">
        <f>'Oct-2025 (CC)'!G7</f>
        <v>50</v>
      </c>
      <c r="T11" s="5">
        <f>'Oct-2025 (CC)'!G8</f>
        <v>163.82</v>
      </c>
      <c r="U11" s="5">
        <f>'Oct-2025 (CC)'!G9</f>
        <v>122.76</v>
      </c>
      <c r="V11" s="5">
        <f>'Oct-2025 (CC)'!G10</f>
        <v>576.96</v>
      </c>
      <c r="W11" s="5">
        <f>'Oct-2025 (CC)'!G11</f>
        <v>177.98</v>
      </c>
      <c r="X11" s="5">
        <f>'Oct-2025 (CC)'!G12</f>
        <v>283.39</v>
      </c>
      <c r="Y11" s="5">
        <f>'Oct-2025 (CC)'!G13</f>
        <v>192.94</v>
      </c>
      <c r="Z11" s="5">
        <f>'Oct-2025 (CC)'!G14</f>
        <v>175.7</v>
      </c>
      <c r="AA11" s="5">
        <f>'Oct-2025 (CC)'!G15</f>
        <v>584.54</v>
      </c>
      <c r="AB11" s="5">
        <f>'Oct-2025 (CC)'!G16</f>
        <v>374.74</v>
      </c>
      <c r="AC11" s="5">
        <f>'Oct-2025 (CC)'!G17</f>
        <v>144.64</v>
      </c>
      <c r="AE11" s="5">
        <f>'Oct-2025 (CC)'!G20</f>
        <v>297.78</v>
      </c>
      <c r="AF11" s="5">
        <f>'Oct-2025 (CC)'!G22</f>
        <v>107.35</v>
      </c>
      <c r="AG11" s="5">
        <f>'Oct-2025 (CC)'!G24</f>
        <v>599.94</v>
      </c>
      <c r="AH11" s="5">
        <f>'Oct-2025 (CC)'!G25</f>
        <v>181.1</v>
      </c>
      <c r="AI11" s="5">
        <f>'Oct-2025 (CC)'!G26</f>
        <v>36.02</v>
      </c>
      <c r="AJ11" s="5">
        <f>'Oct-2025 (CC)'!G27</f>
        <v>439.01</v>
      </c>
      <c r="AK11" s="5">
        <f>'Oct-2025 (CC)'!G29</f>
        <v>821.61</v>
      </c>
      <c r="AL11" s="5">
        <f>'Oct-2025 (CC)'!G30</f>
        <v>21.92</v>
      </c>
      <c r="AM11" s="19">
        <f t="shared" si="14"/>
        <v>0</v>
      </c>
    </row>
    <row r="12">
      <c r="A12" s="2" t="s">
        <v>15</v>
      </c>
      <c r="B12" s="18">
        <v>0.0</v>
      </c>
      <c r="C12" s="19">
        <f>'Nov-2025'!B18</f>
        <v>243.09</v>
      </c>
      <c r="D12" s="19">
        <f>'Nov-2025'!B17</f>
        <v>62.26</v>
      </c>
      <c r="E12" s="19">
        <v>79.1</v>
      </c>
      <c r="F12" s="19">
        <f>'Nov-2025'!B10</f>
        <v>1967.98</v>
      </c>
      <c r="G12" s="19">
        <f t="shared" si="6"/>
        <v>0</v>
      </c>
      <c r="H12" s="18">
        <f>'Nov-2025 (CC)'!G27</f>
        <v>45.2</v>
      </c>
      <c r="I12" s="19">
        <f>'Nov-2025 (CC)'!G22</f>
        <v>105.16</v>
      </c>
      <c r="J12" s="19"/>
      <c r="K12" s="18">
        <v>146.21</v>
      </c>
      <c r="L12" s="19">
        <f>'Nov-2025'!B15</f>
        <v>257.21</v>
      </c>
      <c r="M12" s="19">
        <f t="shared" si="10"/>
        <v>0</v>
      </c>
      <c r="N12" s="19">
        <f>'Nov-2025 (CC)'!G5</f>
        <v>40.2</v>
      </c>
      <c r="O12" s="5">
        <f>'Nov-2025 (CC)'!G6</f>
        <v>77.33</v>
      </c>
      <c r="P12" s="5">
        <f>'Nov-2025 (CC)'!G7</f>
        <v>142.97</v>
      </c>
      <c r="R12" s="5">
        <f>'Nov-2025 (CC)'!G8</f>
        <v>1092.62</v>
      </c>
      <c r="S12" s="5">
        <f>'Nov-2025 (CC)'!G9</f>
        <v>50</v>
      </c>
      <c r="T12" s="18">
        <f t="shared" ref="T12:T13" si="16">0</f>
        <v>0</v>
      </c>
      <c r="U12" s="5">
        <f>'Nov-2025 (CC)'!G10</f>
        <v>122.76</v>
      </c>
      <c r="V12" s="5">
        <f>'Nov-2025 (CC)'!G11</f>
        <v>800.17</v>
      </c>
      <c r="W12" s="5">
        <f>'Nov-2025 (CC)'!G13</f>
        <v>668.11</v>
      </c>
      <c r="X12" s="5">
        <f>'Nov-2025 (CC)'!G14</f>
        <v>64.79</v>
      </c>
      <c r="Y12" s="5">
        <f>'Nov-2025 (CC)'!G15</f>
        <v>77.14</v>
      </c>
      <c r="Z12" s="5">
        <f>'Nov-2025 (CC)'!G16</f>
        <v>158.95</v>
      </c>
      <c r="AA12" s="5">
        <f>'Nov-2025 (CC)'!G17</f>
        <v>1053.96</v>
      </c>
      <c r="AB12" s="18">
        <f t="shared" ref="AB12:AB13" si="17">0</f>
        <v>0</v>
      </c>
      <c r="AC12" s="5">
        <f>'Nov-2025 (CC)'!G18</f>
        <v>6645.71</v>
      </c>
      <c r="AE12" s="5">
        <f>'Nov-2025 (CC)'!G21</f>
        <v>385.89</v>
      </c>
      <c r="AF12" s="18">
        <f t="shared" ref="AF12:AG12" si="15">0</f>
        <v>0</v>
      </c>
      <c r="AG12" s="18">
        <f t="shared" si="15"/>
        <v>0</v>
      </c>
      <c r="AH12" s="5">
        <f>'Nov-2025 (CC)'!G24</f>
        <v>44.57</v>
      </c>
      <c r="AI12" s="5">
        <f>'Nov-2025 (CC)'!G25</f>
        <v>36.02</v>
      </c>
      <c r="AJ12" s="5">
        <f>'Nov-2025 (CC)'!G26</f>
        <v>417.48</v>
      </c>
      <c r="AK12" s="5">
        <f>'Nov-2025 (CC)'!G28</f>
        <v>416.76</v>
      </c>
      <c r="AL12" s="5">
        <f>'Nov-2025 (CC)'!G29</f>
        <v>28.58</v>
      </c>
      <c r="AM12" s="19">
        <f t="shared" si="14"/>
        <v>0</v>
      </c>
    </row>
    <row r="13">
      <c r="A13" s="2" t="s">
        <v>16</v>
      </c>
      <c r="B13" s="18">
        <v>0.0</v>
      </c>
      <c r="C13" s="19">
        <f>'Dec-2025'!B18</f>
        <v>214.44</v>
      </c>
      <c r="D13" s="19">
        <f>'Dec-2025'!B17</f>
        <v>107.14</v>
      </c>
      <c r="E13" s="19">
        <v>79.1</v>
      </c>
      <c r="F13" s="19">
        <f>'Dec-2025'!B10</f>
        <v>1967.98</v>
      </c>
      <c r="G13" s="19">
        <f t="shared" si="6"/>
        <v>0</v>
      </c>
      <c r="H13" s="18">
        <f>'Dec-2025 (CC)'!G19</f>
        <v>45.2</v>
      </c>
      <c r="I13" s="19"/>
      <c r="J13" s="19"/>
      <c r="K13" s="18">
        <v>146.21</v>
      </c>
      <c r="L13" s="19">
        <f>'Dec-2025'!B15</f>
        <v>257.21</v>
      </c>
      <c r="M13" s="19">
        <f t="shared" si="10"/>
        <v>0</v>
      </c>
      <c r="N13" s="19">
        <f>'Dec-2025 (CC)'!G5</f>
        <v>99.35</v>
      </c>
      <c r="O13" s="5">
        <f>'Dec-2025 (CC)'!G6</f>
        <v>681.31</v>
      </c>
      <c r="P13" s="18">
        <f>0</f>
        <v>0</v>
      </c>
      <c r="R13" s="18">
        <v>0.0</v>
      </c>
      <c r="S13" s="5">
        <f>'Dec-2025 (CC)'!G7</f>
        <v>50</v>
      </c>
      <c r="T13" s="18">
        <f t="shared" si="16"/>
        <v>0</v>
      </c>
      <c r="U13" s="5">
        <f>'Dec-2025 (CC)'!G8</f>
        <v>122.76</v>
      </c>
      <c r="V13" s="5">
        <f>'Dec-2025 (CC)'!G9</f>
        <v>272.12</v>
      </c>
      <c r="W13" s="18">
        <f>0</f>
        <v>0</v>
      </c>
      <c r="X13" s="5">
        <f>'Dec-2025 (CC)'!G11</f>
        <v>228.6</v>
      </c>
      <c r="Y13" s="5">
        <f>'Dec-2025 (CC)'!G12</f>
        <v>154.77</v>
      </c>
      <c r="Z13" s="5">
        <f>'Dec-2025 (CC)'!G13</f>
        <v>734.28</v>
      </c>
      <c r="AA13" s="5">
        <f>'Dec-2025 (CC)'!G14</f>
        <v>479.72</v>
      </c>
      <c r="AB13" s="18">
        <f t="shared" si="17"/>
        <v>0</v>
      </c>
      <c r="AC13" s="18">
        <f>0</f>
        <v>0</v>
      </c>
      <c r="AE13" s="5">
        <f>'Dec-2025 (CC)'!G16</f>
        <v>269.24</v>
      </c>
      <c r="AF13" s="18">
        <f t="shared" ref="AF13:AG13" si="18">0</f>
        <v>0</v>
      </c>
      <c r="AG13" s="18">
        <f t="shared" si="18"/>
        <v>0</v>
      </c>
      <c r="AH13" s="5">
        <f>'Dec-2025 (CC)'!G17</f>
        <v>42.89</v>
      </c>
      <c r="AI13" s="18">
        <f>0</f>
        <v>0</v>
      </c>
      <c r="AJ13" s="5">
        <f>'Dec-2025 (CC)'!G18</f>
        <v>141.66</v>
      </c>
      <c r="AK13" s="5">
        <f>'Dec-2025 (CC)'!G20</f>
        <v>1298.91</v>
      </c>
      <c r="AL13" s="5">
        <f>'Dec-2025 (CC)'!G21</f>
        <v>41.19</v>
      </c>
      <c r="AM13" s="19">
        <f t="shared" si="14"/>
        <v>0</v>
      </c>
    </row>
    <row r="15">
      <c r="A15" s="2" t="s">
        <v>98</v>
      </c>
      <c r="B15" s="19">
        <f>average('2025 - Expenses'!$B$2:$B$13)</f>
        <v>431.6716667</v>
      </c>
      <c r="C15" s="19">
        <f>average('2025 - Expenses'!$C$2:$C$13)</f>
        <v>257.63</v>
      </c>
      <c r="D15" s="5">
        <f>AVERAGE('2025 - Expenses'!$Y$2:$Y$13)</f>
        <v>153.9325</v>
      </c>
      <c r="E15" s="19">
        <f>AVERAGE('2025 - Expenses'!$E$2:$E$13)</f>
        <v>36.725</v>
      </c>
      <c r="F15" s="19">
        <f>AVERAGE('2025 - Expenses'!$F$2:$F$13)</f>
        <v>1796.853333</v>
      </c>
      <c r="G15" s="19">
        <f>AVERAGE('2025 - Expenses'!$G$2:$G$13)</f>
        <v>26.15416667</v>
      </c>
      <c r="H15" s="19">
        <f>average('2025 - Expenses'!$H$2:$H$13)</f>
        <v>43.8975</v>
      </c>
      <c r="I15" s="19">
        <f>AVERAGE('2025 - Expenses'!$I$2:$I$13)</f>
        <v>169.0718182</v>
      </c>
      <c r="J15" s="19">
        <f>AVERAGE('2025 - Expenses'!$J$2:$J$13)</f>
        <v>158.15875</v>
      </c>
      <c r="K15" s="19">
        <f>AVERAGE('2025 - Expenses'!$K$2:$K$13)</f>
        <v>179.08</v>
      </c>
      <c r="L15" s="19">
        <f>AVERAGE('2025 - Expenses'!$L$2:$L$13)</f>
        <v>241.685</v>
      </c>
      <c r="M15" s="19">
        <f>AVERAGE('2025 - Expenses'!$M$2:$M$13)</f>
        <v>171.795</v>
      </c>
      <c r="N15" s="19">
        <f>AVERAGE('2025 - Expenses'!$N$2:$N$13)</f>
        <v>137.0516667</v>
      </c>
      <c r="O15" s="5">
        <f>AVERAGE('2025 - Expenses'!$O$2:$O$13)</f>
        <v>185.4466667</v>
      </c>
      <c r="P15" s="5">
        <f>AVERAGE('2025 - Expenses'!$P$2:$P$13)</f>
        <v>152.2883333</v>
      </c>
      <c r="Q15" s="5">
        <f>average('2025 - Expenses'!$Q$2:$Q$13)</f>
        <v>13.57142857</v>
      </c>
      <c r="R15" s="19">
        <f>average('2025 - Expenses'!$R$2:$R$13)</f>
        <v>250.7125</v>
      </c>
      <c r="S15" s="19">
        <f>average('2025 - Expenses'!$S$2:$S$13)</f>
        <v>62.5</v>
      </c>
      <c r="T15" s="19">
        <f>AVERAGE('2025 - Expenses'!$T$2:$T$13)</f>
        <v>140.5433333</v>
      </c>
      <c r="U15" s="5">
        <f>average('2025 - Expenses'!$U$2:$U$13)</f>
        <v>167.68</v>
      </c>
      <c r="V15" s="5">
        <f>average('2025 - Expenses'!$V$2:$V$13)</f>
        <v>530.0316667</v>
      </c>
      <c r="W15" s="5">
        <f>average('2025 - Expenses'!$W$2:$W$13)</f>
        <v>217.865</v>
      </c>
      <c r="X15" s="5">
        <f>average('2025 - Expenses'!$X$2:$X$13)</f>
        <v>357.6666667</v>
      </c>
      <c r="Y15" s="5">
        <f>average('2025 - Expenses'!$Y$2:$Y$13)</f>
        <v>153.9325</v>
      </c>
      <c r="Z15" s="5">
        <f>average('2025 - Expenses'!$Z$2:$Z$13)</f>
        <v>200.52</v>
      </c>
      <c r="AA15" s="5">
        <f>average('2025 - Expenses'!$AA$2:$AA$13)</f>
        <v>950.28</v>
      </c>
      <c r="AB15" s="5">
        <f>average('2025 - Expenses'!$AB$2:$AB$13)</f>
        <v>158.5666667</v>
      </c>
      <c r="AC15" s="5">
        <f>average('2025 - Expenses'!$AC$2:$AC$13)</f>
        <v>1113.831667</v>
      </c>
      <c r="AD15" s="5">
        <f>average('2025 - Expenses'!$AD$2:$AD$13)</f>
        <v>43.025</v>
      </c>
      <c r="AE15" s="5">
        <f>average('2025 - Expenses'!$AE$2:$AE$13)</f>
        <v>642.17</v>
      </c>
      <c r="AF15" s="5">
        <f>average('2025 - Expenses'!$AF$2:$AF$13)</f>
        <v>68.83083333</v>
      </c>
      <c r="AG15" s="5">
        <f>average('2025 - Expenses'!$AG$2:$AG$13)</f>
        <v>454.9241667</v>
      </c>
      <c r="AH15" s="5">
        <f>average('2025 - Expenses'!$AH$2:$AH$13)</f>
        <v>102.1708333</v>
      </c>
      <c r="AI15" s="5">
        <f>average('2025 - Expenses'!$AI$2:$AI$13)</f>
        <v>23.80166667</v>
      </c>
      <c r="AJ15" s="5">
        <f>average('2025 - Expenses'!$AJ$2:$AJ$13)</f>
        <v>422.8033333</v>
      </c>
      <c r="AK15" s="5">
        <f>average('2025 - Expenses'!$AK$2:$AK$13)</f>
        <v>1708.73</v>
      </c>
      <c r="AL15" s="5">
        <f>average('2025 - Expenses'!$AL$2:$AL$13)</f>
        <v>29.90333333</v>
      </c>
      <c r="AM15" s="19">
        <f>average('2025 - Expenses'!$AM$2:$AM$13)</f>
        <v>195.0958333</v>
      </c>
      <c r="AN15" s="5">
        <f>average('2025 - Expenses'!$AN$2:$AN$13)</f>
        <v>9.175</v>
      </c>
    </row>
    <row r="16">
      <c r="A16" s="2" t="s">
        <v>99</v>
      </c>
      <c r="B16" s="19">
        <f>SUM('2025 - Expenses'!$B$2:$B$13)</f>
        <v>5180.06</v>
      </c>
      <c r="C16" s="19">
        <f>SUM('2025 - Expenses'!$C$2:$C$13)</f>
        <v>3091.56</v>
      </c>
      <c r="D16" s="19">
        <f>sum(D2:D13)</f>
        <v>946.01</v>
      </c>
      <c r="E16" s="19">
        <f>sum('2025 - Expenses'!$E$2:$E$13)</f>
        <v>440.7</v>
      </c>
      <c r="F16" s="19">
        <f>sum('2025 - Expenses'!$F$2:$F$13)</f>
        <v>21562.24</v>
      </c>
      <c r="G16" s="19">
        <f>sum('2025 - Expenses'!$G$2:$G$13)</f>
        <v>313.85</v>
      </c>
      <c r="H16" s="19">
        <f>SUM('2025 - Expenses'!$H$2:$H$13)</f>
        <v>526.77</v>
      </c>
      <c r="I16" s="19">
        <f>SUM('2025 - Expenses'!$I$2:$I$13)</f>
        <v>1859.79</v>
      </c>
      <c r="J16" s="19">
        <f>sum('2025 - Expenses'!$J$2:$J$13)</f>
        <v>1265.27</v>
      </c>
      <c r="K16" s="19">
        <f>SUM('2025 - Expenses'!$K$2:$K$13)</f>
        <v>2148.96</v>
      </c>
      <c r="L16" s="19">
        <f>SUM('2025 - Expenses'!$L$2:$L$13)</f>
        <v>2900.22</v>
      </c>
      <c r="M16" s="19">
        <f>SUM('2025 - Expenses'!$M$2:$M$13)</f>
        <v>2061.54</v>
      </c>
      <c r="N16" s="19">
        <f>SUM('2025 - Expenses'!$N$2:$N$13)</f>
        <v>1644.62</v>
      </c>
      <c r="O16" s="5">
        <f>SUM('2025 - Expenses'!$O$2:$O$13)</f>
        <v>2225.36</v>
      </c>
      <c r="P16" s="5">
        <f>SUM('2025 - Expenses'!$P$2:$P$13)</f>
        <v>1827.46</v>
      </c>
      <c r="Q16" s="5">
        <f>SUM('2025 - Expenses'!$Q$2:$Q$13)</f>
        <v>95</v>
      </c>
      <c r="R16" s="19">
        <f>SUM('2025 - Expenses'!$R$2:$R$13)</f>
        <v>3008.55</v>
      </c>
      <c r="S16" s="19">
        <f>SUM('2025 - Expenses'!$S$2:$S$13)</f>
        <v>750</v>
      </c>
      <c r="T16" s="19">
        <f>SUM('2025 - Expenses'!$T$2:$T$13)</f>
        <v>1686.52</v>
      </c>
      <c r="U16" s="5">
        <f>SUM('2025 - Expenses'!$U$2:$U$13)</f>
        <v>2012.16</v>
      </c>
      <c r="V16" s="5">
        <f>SUM('2025 - Expenses'!$V$2:$V$13)</f>
        <v>6360.38</v>
      </c>
      <c r="W16" s="5">
        <f>SUM('2025 - Expenses'!$W$2:$W$13)</f>
        <v>2614.38</v>
      </c>
      <c r="X16" s="5">
        <f>SUM('2025 - Expenses'!$X$2:$X$13)</f>
        <v>4292</v>
      </c>
      <c r="Y16" s="5">
        <f>SUM('2025 - Expenses'!$Y$2:$Y$13)</f>
        <v>1847.19</v>
      </c>
      <c r="Z16" s="5">
        <f>SUM('2025 - Expenses'!$Z$2:$Z$13)</f>
        <v>2406.24</v>
      </c>
      <c r="AA16" s="5">
        <f>SUM('2025 - Expenses'!$AA$2:$AA$13)</f>
        <v>11403.36</v>
      </c>
      <c r="AB16" s="5">
        <f>SUM('2025 - Expenses'!$AB$2:$AB$13)</f>
        <v>1902.8</v>
      </c>
      <c r="AC16" s="5">
        <f>SUM('2025 - Expenses'!$AC$2:$AC$13)</f>
        <v>13365.98</v>
      </c>
      <c r="AD16" s="5">
        <f>SUM('2025 - Expenses'!$AD$2:$AD$13)</f>
        <v>344.2</v>
      </c>
      <c r="AE16" s="5">
        <f>SUM('2025 - Expenses'!$AE$2:$AE$13)</f>
        <v>7706.04</v>
      </c>
      <c r="AF16" s="5">
        <f>SUM('2025 - Expenses'!$AF$2:$AF$13)</f>
        <v>825.97</v>
      </c>
      <c r="AG16" s="5">
        <f>SUM('2025 - Expenses'!$AG$2:$AG$13)</f>
        <v>5459.09</v>
      </c>
      <c r="AH16" s="5">
        <f>SUM('2025 - Expenses'!$AH$2:$AH$13)</f>
        <v>1226.05</v>
      </c>
      <c r="AI16" s="5">
        <f>SUM('2025 - Expenses'!$AI$2:$AI$13)</f>
        <v>285.62</v>
      </c>
      <c r="AJ16" s="5">
        <f>SUM('2025 - Expenses'!$AJ$2:$AJ$13)</f>
        <v>5073.64</v>
      </c>
      <c r="AK16" s="5">
        <f>SUM('2025 - Expenses'!$AK$2:$AK$13)</f>
        <v>20504.76</v>
      </c>
      <c r="AL16" s="5">
        <f>SUM('2025 - Expenses'!$AL$2:$AL$13)</f>
        <v>358.84</v>
      </c>
      <c r="AM16" s="19">
        <f>SUM('2025 - Expenses'!$AM$2:$AM$13)</f>
        <v>2341.15</v>
      </c>
      <c r="AN16" s="5">
        <f>SUM('2025 - Expenses'!$AN$2:$AN$13)</f>
        <v>73.4</v>
      </c>
    </row>
    <row r="19">
      <c r="B19" s="2" t="s">
        <v>100</v>
      </c>
      <c r="C19" s="2" t="s">
        <v>101</v>
      </c>
      <c r="D19" s="2" t="s">
        <v>4</v>
      </c>
      <c r="E19" s="2" t="s">
        <v>102</v>
      </c>
      <c r="G19" s="20">
        <f>C20+C21+C22</f>
        <v>3249.19</v>
      </c>
    </row>
    <row r="20">
      <c r="A20" s="2" t="s">
        <v>61</v>
      </c>
      <c r="B20" s="21">
        <v>745.28</v>
      </c>
      <c r="C20" s="20">
        <f t="shared" ref="C20:C24" si="19">D20-B20</f>
        <v>2346.28</v>
      </c>
      <c r="D20" s="21">
        <v>3091.56</v>
      </c>
      <c r="E20" s="20">
        <f t="shared" ref="E20:E24" si="20">D20/2</f>
        <v>1545.78</v>
      </c>
    </row>
    <row r="21">
      <c r="A21" s="2" t="s">
        <v>62</v>
      </c>
      <c r="B21" s="21">
        <v>483.8</v>
      </c>
      <c r="C21" s="20">
        <f t="shared" si="19"/>
        <v>462.21</v>
      </c>
      <c r="D21" s="21">
        <v>946.01</v>
      </c>
      <c r="E21" s="20">
        <f t="shared" si="20"/>
        <v>473.005</v>
      </c>
    </row>
    <row r="22">
      <c r="A22" s="2" t="s">
        <v>63</v>
      </c>
      <c r="B22" s="21">
        <v>0.0</v>
      </c>
      <c r="C22" s="20">
        <f t="shared" si="19"/>
        <v>440.7</v>
      </c>
      <c r="D22" s="21">
        <v>440.7</v>
      </c>
      <c r="E22" s="20">
        <f t="shared" si="20"/>
        <v>220.35</v>
      </c>
    </row>
    <row r="23">
      <c r="A23" s="2" t="s">
        <v>103</v>
      </c>
      <c r="B23" s="20">
        <f>211.95*3</f>
        <v>635.85</v>
      </c>
      <c r="C23" s="20">
        <f t="shared" si="19"/>
        <v>1513.11</v>
      </c>
      <c r="D23" s="20">
        <f>2148.96</f>
        <v>2148.96</v>
      </c>
      <c r="E23" s="20">
        <f t="shared" si="20"/>
        <v>1074.48</v>
      </c>
    </row>
    <row r="24">
      <c r="A24" s="2" t="s">
        <v>104</v>
      </c>
      <c r="B24" s="20">
        <f>1047+1046.13</f>
        <v>2093.13</v>
      </c>
      <c r="C24" s="20">
        <f t="shared" si="19"/>
        <v>3086.93</v>
      </c>
      <c r="D24" s="20">
        <f>5180.06</f>
        <v>5180.06</v>
      </c>
      <c r="E24" s="20">
        <f t="shared" si="20"/>
        <v>2590.03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3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24">
        <v>45681.0</v>
      </c>
      <c r="B2" s="6" t="s">
        <v>109</v>
      </c>
      <c r="C2" s="4">
        <v>96.89</v>
      </c>
      <c r="D2" s="9" t="s">
        <v>110</v>
      </c>
    </row>
    <row r="3">
      <c r="A3" s="24">
        <v>45681.0</v>
      </c>
      <c r="B3" s="6" t="s">
        <v>111</v>
      </c>
      <c r="C3" s="4">
        <v>64.94</v>
      </c>
      <c r="D3" s="9" t="s">
        <v>112</v>
      </c>
    </row>
    <row r="4">
      <c r="A4" s="24">
        <v>45681.0</v>
      </c>
      <c r="B4" s="6" t="s">
        <v>113</v>
      </c>
      <c r="C4" s="4">
        <v>20.22</v>
      </c>
      <c r="D4" s="9" t="s">
        <v>114</v>
      </c>
    </row>
    <row r="5">
      <c r="A5" s="24">
        <v>45680.0</v>
      </c>
      <c r="B5" s="6" t="s">
        <v>115</v>
      </c>
      <c r="C5" s="4">
        <v>72.5</v>
      </c>
      <c r="D5" s="9" t="s">
        <v>116</v>
      </c>
    </row>
    <row r="6">
      <c r="A6" s="24">
        <v>45679.0</v>
      </c>
      <c r="B6" s="6" t="s">
        <v>117</v>
      </c>
      <c r="C6" s="4">
        <v>59.9</v>
      </c>
      <c r="D6" s="9" t="s">
        <v>110</v>
      </c>
    </row>
    <row r="7">
      <c r="A7" s="24">
        <v>45679.0</v>
      </c>
      <c r="B7" s="6" t="s">
        <v>120</v>
      </c>
      <c r="C7" s="4">
        <v>118.64</v>
      </c>
      <c r="D7" s="9" t="s">
        <v>121</v>
      </c>
    </row>
    <row r="8">
      <c r="A8" s="24">
        <v>45679.0</v>
      </c>
      <c r="B8" s="6" t="s">
        <v>122</v>
      </c>
      <c r="C8" s="4">
        <v>32.64</v>
      </c>
      <c r="D8" s="9" t="s">
        <v>123</v>
      </c>
    </row>
    <row r="9">
      <c r="A9" s="24">
        <v>45678.0</v>
      </c>
      <c r="B9" s="6" t="s">
        <v>125</v>
      </c>
      <c r="C9" s="4">
        <v>11.29</v>
      </c>
      <c r="D9" s="9" t="s">
        <v>126</v>
      </c>
    </row>
    <row r="10">
      <c r="A10" s="24">
        <v>45678.0</v>
      </c>
      <c r="B10" s="6" t="s">
        <v>127</v>
      </c>
      <c r="C10" s="4">
        <v>-7.24</v>
      </c>
      <c r="D10" s="9" t="s">
        <v>128</v>
      </c>
    </row>
    <row r="11">
      <c r="A11" s="24">
        <v>45677.0</v>
      </c>
      <c r="B11" s="6" t="s">
        <v>130</v>
      </c>
      <c r="C11" s="4">
        <v>125.43</v>
      </c>
      <c r="D11" s="9" t="s">
        <v>131</v>
      </c>
    </row>
    <row r="12">
      <c r="A12" s="24">
        <v>45677.0</v>
      </c>
      <c r="B12" s="6" t="s">
        <v>133</v>
      </c>
      <c r="C12" s="4">
        <v>50.9</v>
      </c>
      <c r="D12" s="9" t="s">
        <v>134</v>
      </c>
    </row>
    <row r="13">
      <c r="A13" s="24">
        <v>45677.0</v>
      </c>
      <c r="B13" s="6" t="s">
        <v>120</v>
      </c>
      <c r="C13" s="4">
        <v>55.81</v>
      </c>
      <c r="D13" s="9" t="s">
        <v>121</v>
      </c>
    </row>
    <row r="14">
      <c r="A14" s="24">
        <v>45677.0</v>
      </c>
      <c r="B14" s="6" t="s">
        <v>136</v>
      </c>
      <c r="C14" s="4">
        <v>55.08</v>
      </c>
      <c r="D14" s="9" t="s">
        <v>137</v>
      </c>
    </row>
    <row r="15">
      <c r="A15" s="24">
        <v>45677.0</v>
      </c>
      <c r="B15" s="6" t="s">
        <v>138</v>
      </c>
      <c r="C15" s="4">
        <v>4.29</v>
      </c>
      <c r="D15" s="9" t="s">
        <v>123</v>
      </c>
    </row>
    <row r="16">
      <c r="A16" s="24">
        <v>45677.0</v>
      </c>
      <c r="B16" s="6" t="s">
        <v>140</v>
      </c>
      <c r="C16" s="4">
        <v>152.54</v>
      </c>
      <c r="D16" s="9" t="s">
        <v>141</v>
      </c>
    </row>
    <row r="17">
      <c r="A17" s="24">
        <v>45676.0</v>
      </c>
      <c r="B17" s="26" t="s">
        <v>142</v>
      </c>
      <c r="C17" s="4">
        <v>10.46</v>
      </c>
      <c r="D17" s="9" t="s">
        <v>124</v>
      </c>
    </row>
    <row r="18">
      <c r="A18" s="24">
        <v>45676.0</v>
      </c>
      <c r="B18" s="6" t="s">
        <v>143</v>
      </c>
      <c r="C18" s="4">
        <v>41.75</v>
      </c>
      <c r="D18" s="9" t="s">
        <v>123</v>
      </c>
    </row>
    <row r="19">
      <c r="A19" s="24">
        <v>45676.0</v>
      </c>
      <c r="B19" s="6" t="s">
        <v>144</v>
      </c>
      <c r="C19" s="4">
        <v>1689.35</v>
      </c>
      <c r="D19" s="9" t="s">
        <v>145</v>
      </c>
    </row>
    <row r="20">
      <c r="A20" s="24">
        <v>45676.0</v>
      </c>
      <c r="B20" s="6" t="s">
        <v>146</v>
      </c>
      <c r="C20" s="4">
        <v>7.35</v>
      </c>
      <c r="D20" s="9" t="s">
        <v>141</v>
      </c>
    </row>
    <row r="21">
      <c r="A21" s="24">
        <v>45676.0</v>
      </c>
      <c r="B21" s="6" t="s">
        <v>148</v>
      </c>
      <c r="C21" s="4">
        <v>158.2</v>
      </c>
      <c r="D21" s="9" t="s">
        <v>135</v>
      </c>
    </row>
    <row r="22">
      <c r="A22" s="24">
        <v>45676.0</v>
      </c>
      <c r="B22" s="6" t="s">
        <v>150</v>
      </c>
      <c r="C22" s="4">
        <v>25.0</v>
      </c>
      <c r="D22" s="9" t="s">
        <v>135</v>
      </c>
    </row>
    <row r="23">
      <c r="A23" s="24">
        <v>45676.0</v>
      </c>
      <c r="B23" s="6" t="s">
        <v>151</v>
      </c>
      <c r="C23" s="4">
        <v>39.55</v>
      </c>
      <c r="D23" s="9" t="s">
        <v>152</v>
      </c>
    </row>
    <row r="24">
      <c r="A24" s="24">
        <v>45676.0</v>
      </c>
      <c r="B24" s="6" t="s">
        <v>154</v>
      </c>
      <c r="C24" s="4">
        <v>13.32</v>
      </c>
      <c r="D24" s="9" t="s">
        <v>155</v>
      </c>
    </row>
    <row r="25">
      <c r="A25" s="24">
        <v>45676.0</v>
      </c>
      <c r="B25" s="6" t="s">
        <v>157</v>
      </c>
      <c r="C25" s="4">
        <v>65.99</v>
      </c>
      <c r="D25" s="9" t="s">
        <v>112</v>
      </c>
    </row>
    <row r="26">
      <c r="A26" s="24">
        <v>45675.0</v>
      </c>
      <c r="B26" s="26" t="s">
        <v>142</v>
      </c>
      <c r="C26" s="4">
        <v>45.19</v>
      </c>
      <c r="D26" s="9" t="s">
        <v>124</v>
      </c>
    </row>
    <row r="27">
      <c r="A27" s="24">
        <v>45675.0</v>
      </c>
      <c r="B27" s="6" t="s">
        <v>159</v>
      </c>
      <c r="C27" s="4">
        <v>113.76</v>
      </c>
      <c r="D27" s="9" t="s">
        <v>110</v>
      </c>
    </row>
    <row r="28">
      <c r="A28" s="24">
        <v>45675.0</v>
      </c>
      <c r="B28" s="6" t="s">
        <v>150</v>
      </c>
      <c r="C28" s="4">
        <v>20.0</v>
      </c>
      <c r="D28" s="9" t="s">
        <v>135</v>
      </c>
    </row>
    <row r="29">
      <c r="A29" s="24">
        <v>45675.0</v>
      </c>
      <c r="B29" s="6" t="s">
        <v>160</v>
      </c>
      <c r="C29" s="4">
        <v>95.67</v>
      </c>
      <c r="D29" s="9" t="s">
        <v>153</v>
      </c>
    </row>
    <row r="30">
      <c r="A30" s="24">
        <v>45675.0</v>
      </c>
      <c r="B30" s="6" t="s">
        <v>162</v>
      </c>
      <c r="C30" s="4">
        <v>106.29</v>
      </c>
      <c r="D30" s="9" t="s">
        <v>147</v>
      </c>
    </row>
    <row r="31">
      <c r="A31" s="24">
        <v>45674.0</v>
      </c>
      <c r="B31" s="6" t="s">
        <v>130</v>
      </c>
      <c r="C31" s="4">
        <v>34.25</v>
      </c>
      <c r="D31" s="9" t="s">
        <v>131</v>
      </c>
    </row>
    <row r="32">
      <c r="A32" s="24">
        <v>45674.0</v>
      </c>
      <c r="B32" s="6" t="s">
        <v>109</v>
      </c>
      <c r="C32" s="4">
        <v>97.93</v>
      </c>
      <c r="D32" s="9" t="s">
        <v>110</v>
      </c>
    </row>
    <row r="33">
      <c r="A33" s="24">
        <v>45674.0</v>
      </c>
      <c r="B33" s="6" t="s">
        <v>163</v>
      </c>
      <c r="C33" s="4">
        <v>16.94</v>
      </c>
      <c r="D33" s="9" t="s">
        <v>139</v>
      </c>
    </row>
    <row r="34">
      <c r="A34" s="24">
        <v>45673.0</v>
      </c>
      <c r="B34" s="6" t="s">
        <v>125</v>
      </c>
      <c r="C34" s="4">
        <v>12.42</v>
      </c>
      <c r="D34" s="9" t="s">
        <v>126</v>
      </c>
    </row>
    <row r="35">
      <c r="A35" s="24">
        <v>45673.0</v>
      </c>
      <c r="B35" s="6" t="s">
        <v>165</v>
      </c>
      <c r="C35" s="4">
        <v>63.26</v>
      </c>
      <c r="D35" s="9" t="s">
        <v>147</v>
      </c>
    </row>
    <row r="36">
      <c r="A36" s="24">
        <v>45673.0</v>
      </c>
      <c r="B36" s="26" t="s">
        <v>142</v>
      </c>
      <c r="C36" s="4">
        <v>4.51</v>
      </c>
      <c r="D36" s="9" t="s">
        <v>124</v>
      </c>
    </row>
    <row r="37">
      <c r="A37" s="24">
        <v>45673.0</v>
      </c>
      <c r="B37" s="6" t="s">
        <v>168</v>
      </c>
      <c r="C37" s="4">
        <v>29.48</v>
      </c>
      <c r="D37" s="9" t="s">
        <v>134</v>
      </c>
    </row>
    <row r="38">
      <c r="A38" s="24">
        <v>45673.0</v>
      </c>
      <c r="B38" s="26" t="s">
        <v>169</v>
      </c>
      <c r="C38" s="4">
        <v>23.72</v>
      </c>
      <c r="D38" s="9" t="s">
        <v>156</v>
      </c>
    </row>
    <row r="39">
      <c r="A39" s="24">
        <v>45673.0</v>
      </c>
      <c r="B39" s="6" t="s">
        <v>170</v>
      </c>
      <c r="C39" s="4">
        <v>82.81</v>
      </c>
      <c r="D39" s="9" t="s">
        <v>116</v>
      </c>
    </row>
    <row r="40">
      <c r="A40" s="24">
        <v>45673.0</v>
      </c>
      <c r="B40" s="6" t="s">
        <v>120</v>
      </c>
      <c r="C40" s="4">
        <v>58.75</v>
      </c>
      <c r="D40" s="9" t="s">
        <v>121</v>
      </c>
    </row>
    <row r="41">
      <c r="A41" s="24">
        <v>45672.0</v>
      </c>
      <c r="B41" s="6" t="s">
        <v>125</v>
      </c>
      <c r="C41" s="4">
        <v>4.51</v>
      </c>
      <c r="D41" s="9" t="s">
        <v>126</v>
      </c>
    </row>
    <row r="42">
      <c r="A42" s="24">
        <v>45672.0</v>
      </c>
      <c r="B42" s="6" t="s">
        <v>117</v>
      </c>
      <c r="C42" s="4">
        <v>11.06</v>
      </c>
      <c r="D42" s="9" t="s">
        <v>110</v>
      </c>
    </row>
    <row r="43">
      <c r="A43" s="24">
        <v>45672.0</v>
      </c>
      <c r="B43" s="6" t="s">
        <v>117</v>
      </c>
      <c r="C43" s="4">
        <v>95.1</v>
      </c>
      <c r="D43" s="9" t="s">
        <v>110</v>
      </c>
    </row>
    <row r="44">
      <c r="A44" s="24">
        <v>45672.0</v>
      </c>
      <c r="B44" s="6" t="s">
        <v>171</v>
      </c>
      <c r="C44" s="4">
        <v>67.33</v>
      </c>
      <c r="D44" s="9" t="s">
        <v>139</v>
      </c>
    </row>
    <row r="45">
      <c r="A45" s="24">
        <v>45672.0</v>
      </c>
      <c r="B45" s="6" t="s">
        <v>172</v>
      </c>
      <c r="C45" s="4">
        <v>179.96</v>
      </c>
      <c r="D45" s="9" t="s">
        <v>147</v>
      </c>
    </row>
    <row r="46">
      <c r="A46" s="24">
        <v>45671.0</v>
      </c>
      <c r="B46" s="6" t="s">
        <v>173</v>
      </c>
      <c r="C46" s="4">
        <v>11.29</v>
      </c>
      <c r="D46" s="9" t="s">
        <v>126</v>
      </c>
    </row>
    <row r="47">
      <c r="A47" s="24">
        <v>45671.0</v>
      </c>
      <c r="B47" s="6" t="s">
        <v>174</v>
      </c>
      <c r="C47" s="4">
        <v>39.64</v>
      </c>
      <c r="D47" s="9" t="s">
        <v>161</v>
      </c>
    </row>
    <row r="48">
      <c r="A48" s="24">
        <v>45670.0</v>
      </c>
      <c r="B48" s="6" t="s">
        <v>175</v>
      </c>
      <c r="C48" s="4">
        <v>11.29</v>
      </c>
      <c r="D48" s="9" t="s">
        <v>126</v>
      </c>
    </row>
    <row r="49">
      <c r="A49" s="24">
        <v>45670.0</v>
      </c>
      <c r="B49" s="6" t="s">
        <v>130</v>
      </c>
      <c r="C49" s="4">
        <v>125.43</v>
      </c>
      <c r="D49" s="9" t="s">
        <v>131</v>
      </c>
    </row>
    <row r="50">
      <c r="A50" s="24">
        <v>45670.0</v>
      </c>
      <c r="B50" s="6" t="s">
        <v>117</v>
      </c>
      <c r="C50" s="4">
        <v>26.97</v>
      </c>
      <c r="D50" s="9" t="s">
        <v>110</v>
      </c>
    </row>
    <row r="51">
      <c r="A51" s="24">
        <v>45670.0</v>
      </c>
      <c r="B51" s="6" t="s">
        <v>117</v>
      </c>
      <c r="C51" s="4">
        <v>41.69</v>
      </c>
      <c r="D51" s="9" t="s">
        <v>110</v>
      </c>
    </row>
    <row r="52">
      <c r="A52" s="24">
        <v>45670.0</v>
      </c>
      <c r="B52" s="6" t="s">
        <v>127</v>
      </c>
      <c r="C52" s="4">
        <v>80.56</v>
      </c>
      <c r="D52" s="9" t="s">
        <v>147</v>
      </c>
    </row>
    <row r="53">
      <c r="A53" s="24">
        <v>45669.0</v>
      </c>
      <c r="B53" s="6" t="s">
        <v>150</v>
      </c>
      <c r="C53" s="4">
        <v>20.0</v>
      </c>
      <c r="D53" s="9" t="s">
        <v>135</v>
      </c>
    </row>
    <row r="54">
      <c r="A54" s="24">
        <v>45669.0</v>
      </c>
      <c r="B54" s="6" t="s">
        <v>176</v>
      </c>
      <c r="C54" s="4">
        <v>48.88</v>
      </c>
      <c r="D54" s="9" t="s">
        <v>147</v>
      </c>
    </row>
    <row r="55">
      <c r="A55" s="24">
        <v>45668.0</v>
      </c>
      <c r="B55" s="6" t="s">
        <v>177</v>
      </c>
      <c r="C55" s="4">
        <v>96.96</v>
      </c>
      <c r="D55" s="9" t="s">
        <v>123</v>
      </c>
    </row>
    <row r="56">
      <c r="A56" s="24">
        <v>45667.0</v>
      </c>
      <c r="B56" s="6" t="s">
        <v>178</v>
      </c>
      <c r="C56" s="4">
        <v>4.51</v>
      </c>
      <c r="D56" s="9" t="s">
        <v>124</v>
      </c>
    </row>
    <row r="57">
      <c r="A57" s="24">
        <v>45667.0</v>
      </c>
      <c r="B57" s="6" t="s">
        <v>178</v>
      </c>
      <c r="C57" s="4">
        <v>4.51</v>
      </c>
      <c r="D57" s="9" t="s">
        <v>124</v>
      </c>
    </row>
    <row r="58">
      <c r="A58" s="24">
        <v>45667.0</v>
      </c>
      <c r="B58" s="6" t="s">
        <v>117</v>
      </c>
      <c r="C58" s="4">
        <v>49.24</v>
      </c>
      <c r="D58" s="9" t="s">
        <v>110</v>
      </c>
    </row>
    <row r="59">
      <c r="A59" s="24">
        <v>45667.0</v>
      </c>
      <c r="B59" s="6" t="s">
        <v>115</v>
      </c>
      <c r="C59" s="4">
        <v>64.5</v>
      </c>
      <c r="D59" s="9" t="s">
        <v>116</v>
      </c>
    </row>
    <row r="60">
      <c r="A60" s="24">
        <v>45666.0</v>
      </c>
      <c r="B60" s="6" t="s">
        <v>179</v>
      </c>
      <c r="C60" s="4">
        <v>11.29</v>
      </c>
      <c r="D60" s="9" t="s">
        <v>134</v>
      </c>
    </row>
    <row r="61">
      <c r="A61" s="24">
        <v>45665.0</v>
      </c>
      <c r="B61" s="6" t="s">
        <v>180</v>
      </c>
      <c r="C61" s="4">
        <v>50.0</v>
      </c>
      <c r="D61" s="9" t="s">
        <v>132</v>
      </c>
    </row>
    <row r="62">
      <c r="A62" s="24">
        <v>45665.0</v>
      </c>
      <c r="B62" s="6" t="s">
        <v>181</v>
      </c>
      <c r="C62" s="4">
        <v>50.31</v>
      </c>
      <c r="D62" s="9" t="s">
        <v>123</v>
      </c>
    </row>
    <row r="63">
      <c r="A63" s="24">
        <v>45665.0</v>
      </c>
      <c r="B63" s="6" t="s">
        <v>182</v>
      </c>
      <c r="C63" s="4">
        <v>7.9</v>
      </c>
      <c r="D63" s="9" t="s">
        <v>126</v>
      </c>
    </row>
    <row r="64">
      <c r="A64" s="24">
        <v>45664.0</v>
      </c>
      <c r="B64" s="6" t="s">
        <v>125</v>
      </c>
      <c r="C64" s="4">
        <v>10.16</v>
      </c>
      <c r="D64" s="9" t="s">
        <v>126</v>
      </c>
    </row>
    <row r="65">
      <c r="A65" s="24">
        <v>45664.0</v>
      </c>
      <c r="B65" s="6" t="s">
        <v>125</v>
      </c>
      <c r="C65" s="4">
        <v>11.29</v>
      </c>
      <c r="D65" s="9" t="s">
        <v>126</v>
      </c>
    </row>
    <row r="66">
      <c r="A66" s="24">
        <v>45664.0</v>
      </c>
      <c r="B66" s="6" t="s">
        <v>183</v>
      </c>
      <c r="C66" s="4">
        <v>1036.55</v>
      </c>
      <c r="D66" s="9" t="s">
        <v>164</v>
      </c>
    </row>
    <row r="67">
      <c r="A67" s="24">
        <v>45663.0</v>
      </c>
      <c r="B67" s="26" t="s">
        <v>142</v>
      </c>
      <c r="C67" s="4">
        <v>10.16</v>
      </c>
      <c r="D67" s="9" t="s">
        <v>124</v>
      </c>
    </row>
    <row r="68">
      <c r="A68" s="24">
        <v>45663.0</v>
      </c>
      <c r="B68" s="6" t="s">
        <v>184</v>
      </c>
      <c r="C68" s="4">
        <v>475.0</v>
      </c>
      <c r="D68" s="9" t="s">
        <v>110</v>
      </c>
    </row>
    <row r="69">
      <c r="A69" s="24">
        <v>45663.0</v>
      </c>
      <c r="B69" s="6" t="s">
        <v>130</v>
      </c>
      <c r="C69" s="4">
        <v>125.43</v>
      </c>
      <c r="D69" s="9" t="s">
        <v>131</v>
      </c>
    </row>
    <row r="70">
      <c r="A70" s="24">
        <v>45662.0</v>
      </c>
      <c r="B70" s="6" t="s">
        <v>185</v>
      </c>
      <c r="C70" s="4">
        <v>83.6</v>
      </c>
      <c r="D70" s="9" t="s">
        <v>131</v>
      </c>
    </row>
    <row r="71">
      <c r="A71" s="24">
        <v>45662.0</v>
      </c>
      <c r="B71" s="6" t="s">
        <v>128</v>
      </c>
      <c r="C71" s="4">
        <v>-3082.33</v>
      </c>
      <c r="D71" s="9" t="s">
        <v>128</v>
      </c>
    </row>
    <row r="72">
      <c r="A72" s="24">
        <v>45661.0</v>
      </c>
      <c r="B72" s="6" t="s">
        <v>186</v>
      </c>
      <c r="C72" s="4">
        <v>17.78</v>
      </c>
      <c r="D72" s="9" t="s">
        <v>134</v>
      </c>
    </row>
    <row r="73">
      <c r="A73" s="24">
        <v>45661.0</v>
      </c>
      <c r="B73" s="6" t="s">
        <v>187</v>
      </c>
      <c r="C73" s="4">
        <v>584.84</v>
      </c>
      <c r="D73" s="9" t="s">
        <v>164</v>
      </c>
    </row>
    <row r="74">
      <c r="A74" s="24">
        <v>45661.0</v>
      </c>
      <c r="B74" s="6" t="s">
        <v>188</v>
      </c>
      <c r="C74" s="4">
        <v>352.56</v>
      </c>
      <c r="D74" s="9" t="s">
        <v>164</v>
      </c>
    </row>
    <row r="75">
      <c r="A75" s="24">
        <v>45661.0</v>
      </c>
      <c r="B75" s="6" t="s">
        <v>189</v>
      </c>
      <c r="C75" s="4">
        <v>56.49</v>
      </c>
      <c r="D75" s="9" t="s">
        <v>121</v>
      </c>
    </row>
    <row r="76">
      <c r="A76" s="24">
        <v>45661.0</v>
      </c>
      <c r="B76" s="6" t="s">
        <v>117</v>
      </c>
      <c r="C76" s="4">
        <v>17.27</v>
      </c>
      <c r="D76" s="9" t="s">
        <v>110</v>
      </c>
    </row>
    <row r="77">
      <c r="A77" s="24">
        <v>45661.0</v>
      </c>
      <c r="B77" s="6" t="s">
        <v>190</v>
      </c>
      <c r="C77" s="4">
        <v>61.04</v>
      </c>
      <c r="D77" s="9" t="s">
        <v>137</v>
      </c>
    </row>
    <row r="78">
      <c r="A78" s="24">
        <v>45661.0</v>
      </c>
      <c r="B78" s="6" t="s">
        <v>150</v>
      </c>
      <c r="C78" s="4">
        <v>15.0</v>
      </c>
      <c r="D78" s="9" t="s">
        <v>135</v>
      </c>
    </row>
    <row r="79">
      <c r="A79" s="24">
        <v>45659.0</v>
      </c>
      <c r="B79" s="6" t="s">
        <v>133</v>
      </c>
      <c r="C79" s="4">
        <v>34.98</v>
      </c>
      <c r="D79" s="9" t="s">
        <v>134</v>
      </c>
    </row>
    <row r="80">
      <c r="A80" s="24">
        <v>45659.0</v>
      </c>
      <c r="B80" s="6" t="s">
        <v>120</v>
      </c>
      <c r="C80" s="4">
        <v>284.95</v>
      </c>
      <c r="D80" s="9" t="s">
        <v>121</v>
      </c>
    </row>
    <row r="81">
      <c r="A81" s="24">
        <v>45659.0</v>
      </c>
      <c r="B81" s="6" t="s">
        <v>115</v>
      </c>
      <c r="C81" s="4">
        <v>64.5</v>
      </c>
      <c r="D81" s="9" t="s">
        <v>116</v>
      </c>
    </row>
    <row r="82">
      <c r="A82" s="24">
        <v>45659.0</v>
      </c>
      <c r="B82" s="6" t="s">
        <v>150</v>
      </c>
      <c r="C82" s="4">
        <v>20.0</v>
      </c>
      <c r="D82" s="9" t="s">
        <v>135</v>
      </c>
    </row>
    <row r="83">
      <c r="A83" s="24">
        <v>45658.0</v>
      </c>
      <c r="B83" s="6" t="s">
        <v>178</v>
      </c>
      <c r="C83" s="4">
        <v>18.07</v>
      </c>
      <c r="D83" s="9" t="s">
        <v>124</v>
      </c>
    </row>
    <row r="84">
      <c r="A84" s="24">
        <v>45658.0</v>
      </c>
      <c r="B84" s="6" t="s">
        <v>191</v>
      </c>
      <c r="C84" s="4">
        <v>8.86</v>
      </c>
      <c r="D84" s="9" t="s">
        <v>149</v>
      </c>
    </row>
    <row r="85">
      <c r="A85" s="24">
        <v>45658.0</v>
      </c>
      <c r="B85" s="6" t="s">
        <v>192</v>
      </c>
      <c r="C85" s="4">
        <v>430.48</v>
      </c>
      <c r="D85" s="9" t="s">
        <v>153</v>
      </c>
    </row>
    <row r="86">
      <c r="A86" s="24">
        <v>45658.0</v>
      </c>
      <c r="B86" s="6" t="s">
        <v>193</v>
      </c>
      <c r="C86" s="4">
        <v>49.69</v>
      </c>
      <c r="D86" s="9" t="s">
        <v>123</v>
      </c>
    </row>
    <row r="87">
      <c r="A87" s="24">
        <v>45658.0</v>
      </c>
      <c r="B87" s="6" t="s">
        <v>150</v>
      </c>
      <c r="C87" s="4">
        <v>20.0</v>
      </c>
      <c r="D87" s="9" t="s">
        <v>135</v>
      </c>
    </row>
    <row r="88">
      <c r="A88" s="24">
        <v>45658.0</v>
      </c>
      <c r="B88" s="6" t="s">
        <v>194</v>
      </c>
      <c r="C88" s="4">
        <v>36.11</v>
      </c>
      <c r="D88" s="9" t="s">
        <v>158</v>
      </c>
    </row>
    <row r="89">
      <c r="A89" s="24">
        <v>45688.0</v>
      </c>
      <c r="B89" s="6" t="s">
        <v>195</v>
      </c>
      <c r="C89" s="4">
        <v>-7120.29</v>
      </c>
      <c r="D89" s="9" t="s">
        <v>128</v>
      </c>
      <c r="E89" s="27"/>
    </row>
    <row r="90">
      <c r="A90" s="24">
        <v>45688.0</v>
      </c>
      <c r="B90" s="6" t="s">
        <v>136</v>
      </c>
      <c r="C90" s="4">
        <v>56.38</v>
      </c>
      <c r="D90" s="9" t="s">
        <v>137</v>
      </c>
      <c r="E90" s="27"/>
    </row>
    <row r="91">
      <c r="A91" s="24">
        <v>45688.0</v>
      </c>
      <c r="B91" s="6" t="s">
        <v>130</v>
      </c>
      <c r="C91" s="4">
        <v>90.4</v>
      </c>
      <c r="D91" s="9" t="s">
        <v>131</v>
      </c>
      <c r="E91" s="27"/>
    </row>
    <row r="92">
      <c r="A92" s="24">
        <v>45688.0</v>
      </c>
      <c r="B92" s="6" t="s">
        <v>196</v>
      </c>
      <c r="C92" s="4">
        <v>17.99</v>
      </c>
      <c r="D92" s="9" t="s">
        <v>110</v>
      </c>
      <c r="E92" s="27"/>
    </row>
    <row r="93">
      <c r="A93" s="24">
        <v>45688.0</v>
      </c>
      <c r="B93" s="6" t="s">
        <v>197</v>
      </c>
      <c r="C93" s="4">
        <v>61.25</v>
      </c>
      <c r="D93" s="9" t="s">
        <v>149</v>
      </c>
      <c r="E93" s="27"/>
    </row>
    <row r="94">
      <c r="A94" s="24">
        <v>45688.0</v>
      </c>
      <c r="B94" s="6" t="s">
        <v>109</v>
      </c>
      <c r="C94" s="4">
        <v>89.94</v>
      </c>
      <c r="D94" s="9" t="s">
        <v>110</v>
      </c>
      <c r="E94" s="27"/>
    </row>
    <row r="95">
      <c r="A95" s="24">
        <v>45687.0</v>
      </c>
      <c r="B95" s="6" t="s">
        <v>125</v>
      </c>
      <c r="C95" s="4">
        <v>24.85</v>
      </c>
      <c r="D95" s="9" t="s">
        <v>126</v>
      </c>
      <c r="E95" s="27"/>
    </row>
    <row r="96">
      <c r="A96" s="24">
        <v>45687.0</v>
      </c>
      <c r="B96" s="6" t="s">
        <v>192</v>
      </c>
      <c r="C96" s="4">
        <v>-214.69</v>
      </c>
      <c r="D96" s="9" t="s">
        <v>128</v>
      </c>
      <c r="E96" s="27"/>
    </row>
    <row r="97">
      <c r="A97" s="24">
        <v>45687.0</v>
      </c>
      <c r="B97" s="6" t="s">
        <v>198</v>
      </c>
      <c r="C97" s="4">
        <v>18.07</v>
      </c>
      <c r="D97" s="9" t="s">
        <v>145</v>
      </c>
      <c r="E97" s="27"/>
    </row>
    <row r="98">
      <c r="A98" s="24">
        <v>45687.0</v>
      </c>
      <c r="B98" s="6" t="s">
        <v>199</v>
      </c>
      <c r="C98" s="4">
        <v>7.9</v>
      </c>
      <c r="D98" s="9" t="s">
        <v>145</v>
      </c>
      <c r="E98" s="27"/>
    </row>
    <row r="99">
      <c r="A99" s="24">
        <v>45687.0</v>
      </c>
      <c r="B99" s="6" t="s">
        <v>200</v>
      </c>
      <c r="C99" s="4">
        <v>2.99</v>
      </c>
      <c r="D99" s="9" t="s">
        <v>134</v>
      </c>
      <c r="E99" s="27"/>
    </row>
    <row r="100">
      <c r="A100" s="24">
        <v>45687.0</v>
      </c>
      <c r="B100" s="6" t="s">
        <v>115</v>
      </c>
      <c r="C100" s="4">
        <v>75.0</v>
      </c>
      <c r="D100" s="9" t="s">
        <v>116</v>
      </c>
      <c r="E100" s="27"/>
    </row>
    <row r="101">
      <c r="A101" s="24">
        <v>45687.0</v>
      </c>
      <c r="B101" s="6" t="s">
        <v>201</v>
      </c>
      <c r="C101" s="4">
        <v>19.0</v>
      </c>
      <c r="D101" s="9" t="s">
        <v>129</v>
      </c>
      <c r="E101" s="27"/>
    </row>
    <row r="102">
      <c r="A102" s="24">
        <v>45686.0</v>
      </c>
      <c r="B102" s="6" t="s">
        <v>202</v>
      </c>
      <c r="C102" s="4">
        <v>547.04</v>
      </c>
      <c r="D102" s="9" t="s">
        <v>164</v>
      </c>
      <c r="E102" s="27"/>
    </row>
    <row r="103">
      <c r="A103" s="24">
        <v>45686.0</v>
      </c>
      <c r="B103" s="6" t="s">
        <v>194</v>
      </c>
      <c r="C103" s="4">
        <v>36.11</v>
      </c>
      <c r="D103" s="9" t="s">
        <v>158</v>
      </c>
      <c r="E103" s="27"/>
    </row>
    <row r="104">
      <c r="A104" s="24">
        <v>45686.0</v>
      </c>
      <c r="B104" s="6" t="s">
        <v>203</v>
      </c>
      <c r="C104" s="4">
        <v>24.0</v>
      </c>
      <c r="D104" s="9" t="s">
        <v>123</v>
      </c>
      <c r="E104" s="27"/>
    </row>
    <row r="105">
      <c r="A105" s="24">
        <v>45686.0</v>
      </c>
      <c r="B105" s="6" t="s">
        <v>117</v>
      </c>
      <c r="C105" s="4">
        <v>76.0</v>
      </c>
      <c r="D105" s="9" t="s">
        <v>110</v>
      </c>
      <c r="E105" s="27"/>
    </row>
    <row r="106">
      <c r="A106" s="24">
        <v>45686.0</v>
      </c>
      <c r="B106" s="6" t="s">
        <v>204</v>
      </c>
      <c r="C106" s="4">
        <v>57.83</v>
      </c>
      <c r="D106" s="9" t="s">
        <v>145</v>
      </c>
      <c r="E106" s="27"/>
    </row>
    <row r="107">
      <c r="A107" s="24">
        <v>45685.0</v>
      </c>
      <c r="B107" s="6" t="s">
        <v>205</v>
      </c>
      <c r="C107" s="4">
        <v>200.0</v>
      </c>
      <c r="D107" s="9" t="s">
        <v>132</v>
      </c>
      <c r="E107" s="27"/>
    </row>
    <row r="108">
      <c r="A108" s="24">
        <v>45684.0</v>
      </c>
      <c r="B108" s="6" t="s">
        <v>125</v>
      </c>
      <c r="C108" s="4">
        <v>14.68</v>
      </c>
      <c r="D108" s="9" t="s">
        <v>126</v>
      </c>
      <c r="E108" s="27"/>
    </row>
    <row r="109">
      <c r="A109" s="24">
        <v>45684.0</v>
      </c>
      <c r="B109" s="6" t="s">
        <v>206</v>
      </c>
      <c r="C109" s="4">
        <v>8.25</v>
      </c>
      <c r="D109" s="9" t="s">
        <v>164</v>
      </c>
      <c r="E109" s="27"/>
    </row>
    <row r="110">
      <c r="A110" s="24">
        <v>45684.0</v>
      </c>
      <c r="B110" s="6" t="s">
        <v>130</v>
      </c>
      <c r="C110" s="4">
        <v>125.43</v>
      </c>
      <c r="D110" s="9" t="s">
        <v>131</v>
      </c>
      <c r="E110" s="27"/>
    </row>
    <row r="111">
      <c r="A111" s="24">
        <v>45684.0</v>
      </c>
      <c r="B111" s="6" t="s">
        <v>207</v>
      </c>
      <c r="C111" s="4">
        <v>14.68</v>
      </c>
      <c r="D111" s="9" t="s">
        <v>166</v>
      </c>
      <c r="E111" s="27"/>
    </row>
    <row r="112">
      <c r="A112" s="24">
        <v>45683.0</v>
      </c>
      <c r="B112" s="6" t="s">
        <v>208</v>
      </c>
      <c r="C112" s="4">
        <v>139.89</v>
      </c>
      <c r="D112" s="9" t="s">
        <v>121</v>
      </c>
      <c r="E112" s="27"/>
    </row>
    <row r="113">
      <c r="A113" s="24">
        <v>45683.0</v>
      </c>
      <c r="B113" s="6" t="s">
        <v>159</v>
      </c>
      <c r="C113" s="4">
        <v>42.78</v>
      </c>
      <c r="D113" s="9" t="s">
        <v>110</v>
      </c>
      <c r="E113" s="27"/>
    </row>
    <row r="114">
      <c r="A114" s="24">
        <v>45682.0</v>
      </c>
      <c r="B114" s="6" t="s">
        <v>209</v>
      </c>
      <c r="C114" s="4">
        <v>13.55</v>
      </c>
      <c r="D114" s="9" t="s">
        <v>139</v>
      </c>
      <c r="E114" s="27"/>
    </row>
    <row r="115">
      <c r="A115" s="24">
        <v>45682.0</v>
      </c>
      <c r="B115" s="6" t="s">
        <v>209</v>
      </c>
      <c r="C115" s="4">
        <v>33.89</v>
      </c>
      <c r="D115" s="9" t="s">
        <v>139</v>
      </c>
      <c r="E115" s="27"/>
    </row>
    <row r="116">
      <c r="A116" s="24">
        <v>45682.0</v>
      </c>
      <c r="B116" s="6" t="s">
        <v>209</v>
      </c>
      <c r="C116" s="4">
        <v>105.64</v>
      </c>
      <c r="D116" s="9" t="s">
        <v>139</v>
      </c>
      <c r="E116" s="27"/>
    </row>
    <row r="117">
      <c r="A117" s="24">
        <v>45682.0</v>
      </c>
      <c r="B117" s="6" t="s">
        <v>210</v>
      </c>
      <c r="C117" s="4">
        <v>331.02</v>
      </c>
      <c r="D117" s="9" t="s">
        <v>112</v>
      </c>
      <c r="E117" s="27"/>
    </row>
    <row r="118">
      <c r="A118" s="24">
        <v>45682.0</v>
      </c>
      <c r="B118" s="6" t="s">
        <v>211</v>
      </c>
      <c r="C118" s="4">
        <v>20.64</v>
      </c>
      <c r="D118" s="9" t="s">
        <v>110</v>
      </c>
      <c r="E118" s="27"/>
    </row>
    <row r="119">
      <c r="A119" s="24">
        <v>45681.0</v>
      </c>
      <c r="B119" s="6" t="s">
        <v>212</v>
      </c>
      <c r="C119" s="4">
        <v>31.28</v>
      </c>
      <c r="D119" s="9" t="s">
        <v>134</v>
      </c>
      <c r="E119" s="27"/>
    </row>
    <row r="120">
      <c r="A120" s="24">
        <v>45681.0</v>
      </c>
      <c r="B120" s="6" t="s">
        <v>130</v>
      </c>
      <c r="C120" s="4">
        <v>4.52</v>
      </c>
      <c r="D120" s="9" t="s">
        <v>131</v>
      </c>
      <c r="E120" s="27"/>
    </row>
    <row r="121">
      <c r="A121" s="24">
        <v>45680.0</v>
      </c>
      <c r="B121" s="6" t="s">
        <v>213</v>
      </c>
      <c r="C121" s="4">
        <v>-1197.36</v>
      </c>
      <c r="D121" s="9" t="s">
        <v>128</v>
      </c>
      <c r="E121" s="27"/>
    </row>
    <row r="122">
      <c r="C122" s="5"/>
    </row>
    <row r="123">
      <c r="C123" s="5"/>
    </row>
    <row r="124">
      <c r="C124" s="5"/>
    </row>
    <row r="125">
      <c r="C125" s="5"/>
    </row>
    <row r="126">
      <c r="C126" s="5"/>
    </row>
    <row r="127">
      <c r="C127" s="5"/>
    </row>
    <row r="128">
      <c r="C128" s="5"/>
    </row>
    <row r="129">
      <c r="C129" s="5"/>
    </row>
    <row r="130">
      <c r="C130" s="5"/>
    </row>
    <row r="131">
      <c r="C131" s="5"/>
    </row>
    <row r="132">
      <c r="C132" s="5"/>
    </row>
    <row r="133">
      <c r="C133" s="5"/>
    </row>
    <row r="134">
      <c r="C134" s="5"/>
    </row>
    <row r="135">
      <c r="C135" s="5"/>
    </row>
    <row r="136">
      <c r="C136" s="5"/>
    </row>
    <row r="137">
      <c r="C137" s="5"/>
    </row>
    <row r="138">
      <c r="C138" s="5"/>
    </row>
    <row r="139">
      <c r="C139" s="5"/>
    </row>
    <row r="140">
      <c r="C140" s="5"/>
    </row>
    <row r="141">
      <c r="C141" s="5"/>
    </row>
    <row r="142">
      <c r="C142" s="5"/>
    </row>
    <row r="143">
      <c r="C143" s="5"/>
    </row>
    <row r="144">
      <c r="C144" s="5"/>
    </row>
    <row r="145">
      <c r="C145" s="5"/>
    </row>
    <row r="146">
      <c r="C146" s="5"/>
    </row>
    <row r="147">
      <c r="C147" s="5"/>
    </row>
    <row r="148">
      <c r="C148" s="5"/>
    </row>
    <row r="149">
      <c r="C149" s="5"/>
    </row>
    <row r="150">
      <c r="C150" s="5"/>
    </row>
    <row r="151">
      <c r="C151" s="5"/>
    </row>
    <row r="152">
      <c r="C152" s="5"/>
    </row>
    <row r="153">
      <c r="C153" s="5"/>
    </row>
    <row r="154">
      <c r="C154" s="5"/>
    </row>
    <row r="155">
      <c r="C155" s="5"/>
    </row>
    <row r="156">
      <c r="C156" s="5"/>
    </row>
    <row r="157">
      <c r="C157" s="5"/>
    </row>
    <row r="158">
      <c r="C158" s="5"/>
    </row>
    <row r="159">
      <c r="C159" s="5"/>
    </row>
    <row r="160">
      <c r="C160" s="5"/>
    </row>
    <row r="161">
      <c r="C161" s="5"/>
    </row>
    <row r="162">
      <c r="C162" s="5"/>
    </row>
    <row r="163">
      <c r="C163" s="5"/>
    </row>
    <row r="164">
      <c r="C164" s="5"/>
    </row>
    <row r="165">
      <c r="C165" s="5"/>
    </row>
    <row r="166">
      <c r="C166" s="5"/>
    </row>
    <row r="167">
      <c r="C167" s="5"/>
    </row>
    <row r="168">
      <c r="C168" s="5"/>
    </row>
    <row r="169">
      <c r="C169" s="5"/>
    </row>
    <row r="170">
      <c r="C170" s="5"/>
    </row>
    <row r="171">
      <c r="C171" s="5"/>
    </row>
    <row r="172">
      <c r="C172" s="5"/>
    </row>
    <row r="173">
      <c r="C173" s="5"/>
    </row>
    <row r="174">
      <c r="C174" s="5"/>
    </row>
    <row r="175">
      <c r="C175" s="5"/>
    </row>
    <row r="176">
      <c r="C176" s="5"/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  <row r="935">
      <c r="C935" s="5"/>
    </row>
    <row r="936">
      <c r="C936" s="5"/>
    </row>
    <row r="937">
      <c r="C937" s="5"/>
    </row>
    <row r="938">
      <c r="C938" s="5"/>
    </row>
    <row r="939">
      <c r="C939" s="5"/>
    </row>
    <row r="940">
      <c r="C940" s="5"/>
    </row>
    <row r="941">
      <c r="C941" s="5"/>
    </row>
    <row r="942">
      <c r="C942" s="5"/>
    </row>
    <row r="943">
      <c r="C943" s="5"/>
    </row>
    <row r="944">
      <c r="C944" s="5"/>
    </row>
    <row r="945">
      <c r="C945" s="5"/>
    </row>
    <row r="946">
      <c r="C946" s="5"/>
    </row>
    <row r="947">
      <c r="C947" s="5"/>
    </row>
    <row r="948">
      <c r="C948" s="5"/>
    </row>
    <row r="949">
      <c r="C949" s="5"/>
    </row>
    <row r="950">
      <c r="C950" s="5"/>
    </row>
    <row r="951">
      <c r="C951" s="5"/>
    </row>
    <row r="952">
      <c r="C952" s="5"/>
    </row>
    <row r="953">
      <c r="C953" s="5"/>
    </row>
    <row r="954">
      <c r="C954" s="5"/>
    </row>
    <row r="955">
      <c r="C955" s="5"/>
    </row>
  </sheetData>
  <autoFilter ref="$A$1:$Z$122">
    <sortState ref="A1:Z122">
      <sortCondition descending="1" ref="A1:A122"/>
      <sortCondition ref="B1:B122"/>
      <sortCondition ref="D1:D122"/>
    </sortState>
  </autoFilter>
  <dataValidations>
    <dataValidation type="list" allowBlank="1" showErrorMessage="1" sqref="D89:D92 D95:D100 D102:D110 D112:D12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BEAUTY,TRAVEL,MOBILE,ALCOHOL,CANNABIS,GIFTS,NEWSPAPERS,ENTERTAINMENT,PAYMENT,INTERNET,RELIANCE,CANNA"&amp;"BIS,CLOTHING,VET BILL"</formula1>
    </dataValidation>
    <dataValidation type="list" allowBlank="1" showErrorMessage="1" sqref="D2:D88 D93:D94 D101 D11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hyperlinks>
    <hyperlink r:id="rId2" ref="B17"/>
    <hyperlink r:id="rId3" ref="B26"/>
    <hyperlink r:id="rId4" ref="B36"/>
    <hyperlink r:id="rId5" ref="B38"/>
    <hyperlink r:id="rId6" ref="B67"/>
  </hyperlinks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  <col customWidth="1" min="4" max="4" width="17.7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45712.0</v>
      </c>
      <c r="B2" s="6" t="s">
        <v>154</v>
      </c>
      <c r="C2" s="4">
        <v>3.0</v>
      </c>
      <c r="D2" s="9" t="s">
        <v>155</v>
      </c>
      <c r="E2" s="27"/>
    </row>
    <row r="3">
      <c r="A3" s="24">
        <v>45712.0</v>
      </c>
      <c r="B3" s="6" t="s">
        <v>154</v>
      </c>
      <c r="C3" s="4">
        <v>19.61</v>
      </c>
      <c r="D3" s="9" t="s">
        <v>155</v>
      </c>
      <c r="E3" s="27"/>
    </row>
    <row r="4">
      <c r="A4" s="24">
        <v>45712.0</v>
      </c>
      <c r="B4" s="6" t="s">
        <v>214</v>
      </c>
      <c r="C4" s="4">
        <v>38.14</v>
      </c>
      <c r="D4" s="9" t="s">
        <v>134</v>
      </c>
    </row>
    <row r="5">
      <c r="A5" s="24">
        <v>45712.0</v>
      </c>
      <c r="B5" s="6" t="s">
        <v>215</v>
      </c>
      <c r="C5" s="4">
        <v>41.23</v>
      </c>
      <c r="D5" s="9" t="s">
        <v>134</v>
      </c>
      <c r="E5" s="27"/>
    </row>
    <row r="6">
      <c r="A6" s="24">
        <v>45712.0</v>
      </c>
      <c r="B6" s="6" t="s">
        <v>113</v>
      </c>
      <c r="C6" s="4">
        <v>20.22</v>
      </c>
      <c r="D6" s="9" t="s">
        <v>114</v>
      </c>
      <c r="E6" s="27"/>
    </row>
    <row r="7">
      <c r="A7" s="24">
        <v>45712.0</v>
      </c>
      <c r="B7" s="6" t="s">
        <v>130</v>
      </c>
      <c r="C7" s="4">
        <v>125.43</v>
      </c>
      <c r="D7" s="9" t="s">
        <v>131</v>
      </c>
    </row>
    <row r="8">
      <c r="A8" s="24">
        <v>45712.0</v>
      </c>
      <c r="B8" s="6" t="s">
        <v>217</v>
      </c>
      <c r="C8" s="4">
        <v>100.0</v>
      </c>
      <c r="D8" s="9" t="s">
        <v>123</v>
      </c>
      <c r="E8" s="27"/>
    </row>
    <row r="9">
      <c r="A9" s="24">
        <v>45711.0</v>
      </c>
      <c r="B9" s="6" t="s">
        <v>218</v>
      </c>
      <c r="C9" s="4">
        <v>31.39</v>
      </c>
      <c r="D9" s="9" t="s">
        <v>134</v>
      </c>
      <c r="E9" s="27"/>
    </row>
    <row r="10">
      <c r="A10" s="24">
        <v>45711.0</v>
      </c>
      <c r="B10" s="6" t="s">
        <v>117</v>
      </c>
      <c r="C10" s="4">
        <v>2.92</v>
      </c>
      <c r="D10" s="9" t="s">
        <v>110</v>
      </c>
      <c r="E10" s="27"/>
    </row>
    <row r="11">
      <c r="A11" s="24">
        <v>45711.0</v>
      </c>
      <c r="B11" s="6" t="s">
        <v>219</v>
      </c>
      <c r="C11" s="4">
        <v>242.93</v>
      </c>
      <c r="D11" s="9" t="s">
        <v>220</v>
      </c>
      <c r="E11" s="27"/>
    </row>
    <row r="12">
      <c r="A12" s="24">
        <v>45711.0</v>
      </c>
      <c r="B12" s="6" t="s">
        <v>221</v>
      </c>
      <c r="C12" s="4">
        <v>15.3</v>
      </c>
      <c r="D12" s="9" t="s">
        <v>135</v>
      </c>
      <c r="E12" s="27"/>
    </row>
    <row r="13">
      <c r="A13" s="24">
        <v>45710.0</v>
      </c>
      <c r="B13" s="6" t="s">
        <v>154</v>
      </c>
      <c r="C13" s="4">
        <v>18.48</v>
      </c>
      <c r="D13" s="9" t="s">
        <v>155</v>
      </c>
      <c r="E13" s="27"/>
    </row>
    <row r="14">
      <c r="A14" s="24">
        <v>45710.0</v>
      </c>
      <c r="B14" s="6" t="s">
        <v>222</v>
      </c>
      <c r="C14" s="4">
        <v>33.89</v>
      </c>
      <c r="D14" s="9" t="s">
        <v>126</v>
      </c>
      <c r="E14" s="27"/>
    </row>
    <row r="15">
      <c r="A15" s="24">
        <v>45710.0</v>
      </c>
      <c r="B15" s="6" t="s">
        <v>133</v>
      </c>
      <c r="C15" s="4">
        <v>56.47</v>
      </c>
      <c r="D15" s="9" t="s">
        <v>134</v>
      </c>
      <c r="E15" s="27"/>
    </row>
    <row r="16">
      <c r="A16" s="24">
        <v>45710.0</v>
      </c>
      <c r="B16" s="6" t="s">
        <v>208</v>
      </c>
      <c r="C16" s="4">
        <v>42.54</v>
      </c>
      <c r="D16" s="9" t="s">
        <v>121</v>
      </c>
      <c r="E16" s="27"/>
    </row>
    <row r="17">
      <c r="A17" s="24">
        <v>45710.0</v>
      </c>
      <c r="B17" s="6" t="s">
        <v>223</v>
      </c>
      <c r="C17" s="4">
        <v>30.51</v>
      </c>
      <c r="D17" s="9" t="s">
        <v>123</v>
      </c>
      <c r="E17" s="27"/>
    </row>
    <row r="18">
      <c r="A18" s="24">
        <v>45710.0</v>
      </c>
      <c r="B18" s="6" t="s">
        <v>224</v>
      </c>
      <c r="C18" s="4">
        <v>16.94</v>
      </c>
      <c r="D18" s="9" t="s">
        <v>220</v>
      </c>
      <c r="E18" s="27"/>
    </row>
    <row r="19">
      <c r="A19" s="24">
        <v>45710.0</v>
      </c>
      <c r="B19" s="6" t="s">
        <v>225</v>
      </c>
      <c r="C19" s="4">
        <v>57.06</v>
      </c>
      <c r="D19" s="9" t="s">
        <v>110</v>
      </c>
      <c r="E19" s="27"/>
    </row>
    <row r="20">
      <c r="A20" s="24">
        <v>45710.0</v>
      </c>
      <c r="B20" s="6" t="s">
        <v>177</v>
      </c>
      <c r="C20" s="4">
        <v>76.62</v>
      </c>
      <c r="D20" s="9" t="s">
        <v>123</v>
      </c>
      <c r="E20" s="27"/>
    </row>
    <row r="21">
      <c r="A21" s="24">
        <v>45710.0</v>
      </c>
      <c r="B21" s="6" t="s">
        <v>226</v>
      </c>
      <c r="C21" s="4">
        <v>103.95</v>
      </c>
      <c r="D21" s="9" t="s">
        <v>121</v>
      </c>
      <c r="E21" s="27"/>
    </row>
    <row r="22">
      <c r="A22" s="24">
        <v>45709.0</v>
      </c>
      <c r="B22" s="6" t="s">
        <v>227</v>
      </c>
      <c r="C22" s="4">
        <v>10.52</v>
      </c>
      <c r="D22" s="9" t="s">
        <v>123</v>
      </c>
      <c r="E22" s="27"/>
    </row>
    <row r="23">
      <c r="A23" s="24">
        <v>45709.0</v>
      </c>
      <c r="B23" s="6" t="s">
        <v>117</v>
      </c>
      <c r="C23" s="4">
        <v>24.45</v>
      </c>
      <c r="D23" s="9" t="s">
        <v>110</v>
      </c>
      <c r="E23" s="27"/>
    </row>
    <row r="24">
      <c r="A24" s="24">
        <v>45708.0</v>
      </c>
      <c r="B24" s="6" t="s">
        <v>151</v>
      </c>
      <c r="C24" s="4">
        <v>39.55</v>
      </c>
      <c r="D24" s="9" t="s">
        <v>152</v>
      </c>
      <c r="E24" s="27"/>
    </row>
    <row r="25">
      <c r="A25" s="24">
        <v>45708.0</v>
      </c>
      <c r="B25" s="6" t="s">
        <v>178</v>
      </c>
      <c r="C25" s="4">
        <v>56.49</v>
      </c>
      <c r="D25" s="9" t="s">
        <v>124</v>
      </c>
      <c r="E25" s="27"/>
    </row>
    <row r="26">
      <c r="A26" s="24">
        <v>45708.0</v>
      </c>
      <c r="B26" s="6" t="s">
        <v>225</v>
      </c>
      <c r="C26" s="4">
        <v>68.62</v>
      </c>
      <c r="D26" s="9" t="s">
        <v>110</v>
      </c>
      <c r="E26" s="27"/>
    </row>
    <row r="27">
      <c r="A27" s="24">
        <v>45708.0</v>
      </c>
      <c r="B27" s="6" t="s">
        <v>115</v>
      </c>
      <c r="C27" s="4">
        <v>71.0</v>
      </c>
      <c r="D27" s="9" t="s">
        <v>116</v>
      </c>
      <c r="E27" s="27"/>
    </row>
    <row r="28">
      <c r="A28" s="24">
        <v>45707.0</v>
      </c>
      <c r="B28" s="6" t="s">
        <v>189</v>
      </c>
      <c r="C28" s="4">
        <v>22.2</v>
      </c>
      <c r="D28" s="9" t="s">
        <v>121</v>
      </c>
      <c r="E28" s="27"/>
    </row>
    <row r="29">
      <c r="A29" s="24">
        <v>45707.0</v>
      </c>
      <c r="B29" s="6" t="s">
        <v>117</v>
      </c>
      <c r="C29" s="4">
        <v>27.7</v>
      </c>
      <c r="D29" s="9" t="s">
        <v>110</v>
      </c>
      <c r="E29" s="27"/>
    </row>
    <row r="30">
      <c r="A30" s="24">
        <v>45707.0</v>
      </c>
      <c r="B30" s="6" t="s">
        <v>229</v>
      </c>
      <c r="C30" s="4">
        <v>31.44</v>
      </c>
      <c r="D30" s="9" t="s">
        <v>134</v>
      </c>
      <c r="E30" s="27"/>
    </row>
    <row r="31">
      <c r="A31" s="24">
        <v>45706.0</v>
      </c>
      <c r="B31" s="6" t="s">
        <v>189</v>
      </c>
      <c r="C31" s="4">
        <v>163.66</v>
      </c>
      <c r="D31" s="9" t="s">
        <v>121</v>
      </c>
      <c r="E31" s="27"/>
    </row>
    <row r="32">
      <c r="A32" s="24">
        <v>45706.0</v>
      </c>
      <c r="B32" s="6" t="s">
        <v>130</v>
      </c>
      <c r="C32" s="4">
        <v>2.26</v>
      </c>
      <c r="D32" s="9" t="s">
        <v>131</v>
      </c>
      <c r="E32" s="27"/>
    </row>
    <row r="33">
      <c r="A33" s="24">
        <v>45706.0</v>
      </c>
      <c r="B33" s="26" t="s">
        <v>142</v>
      </c>
      <c r="C33" s="4">
        <v>14.68</v>
      </c>
      <c r="D33" s="9" t="s">
        <v>124</v>
      </c>
      <c r="E33" s="27"/>
    </row>
    <row r="34">
      <c r="A34" s="24">
        <v>45706.0</v>
      </c>
      <c r="B34" s="26" t="s">
        <v>142</v>
      </c>
      <c r="C34" s="4">
        <v>45.19</v>
      </c>
      <c r="D34" s="9" t="s">
        <v>124</v>
      </c>
      <c r="E34" s="27"/>
    </row>
    <row r="35">
      <c r="A35" s="24">
        <v>45705.0</v>
      </c>
      <c r="B35" s="6" t="s">
        <v>209</v>
      </c>
      <c r="C35" s="4">
        <v>17.07</v>
      </c>
      <c r="D35" s="9" t="s">
        <v>139</v>
      </c>
      <c r="E35" s="27"/>
    </row>
    <row r="36">
      <c r="A36" s="24">
        <v>45705.0</v>
      </c>
      <c r="B36" s="6" t="s">
        <v>130</v>
      </c>
      <c r="C36" s="4">
        <v>125.43</v>
      </c>
      <c r="D36" s="9" t="s">
        <v>131</v>
      </c>
      <c r="E36" s="27"/>
    </row>
    <row r="37">
      <c r="A37" s="24">
        <v>45704.0</v>
      </c>
      <c r="B37" s="6" t="s">
        <v>117</v>
      </c>
      <c r="C37" s="4">
        <v>84.58</v>
      </c>
      <c r="D37" s="9" t="s">
        <v>110</v>
      </c>
      <c r="E37" s="27"/>
    </row>
    <row r="38">
      <c r="A38" s="24">
        <v>45704.0</v>
      </c>
      <c r="B38" s="6" t="s">
        <v>133</v>
      </c>
      <c r="C38" s="4">
        <v>34.83</v>
      </c>
      <c r="D38" s="9" t="s">
        <v>134</v>
      </c>
      <c r="E38" s="27"/>
    </row>
    <row r="39">
      <c r="A39" s="24">
        <v>45704.0</v>
      </c>
      <c r="B39" s="6" t="s">
        <v>115</v>
      </c>
      <c r="C39" s="4">
        <v>30.0</v>
      </c>
      <c r="D39" s="9" t="s">
        <v>116</v>
      </c>
      <c r="E39" s="27"/>
    </row>
    <row r="40">
      <c r="A40" s="24">
        <v>45704.0</v>
      </c>
      <c r="B40" s="26" t="s">
        <v>169</v>
      </c>
      <c r="C40" s="4">
        <v>23.72</v>
      </c>
      <c r="D40" s="9" t="s">
        <v>156</v>
      </c>
      <c r="E40" s="27"/>
    </row>
    <row r="41">
      <c r="A41" s="24">
        <v>45703.0</v>
      </c>
      <c r="B41" s="6" t="s">
        <v>231</v>
      </c>
      <c r="C41" s="4">
        <v>242.23</v>
      </c>
      <c r="D41" s="9" t="s">
        <v>164</v>
      </c>
      <c r="E41" s="27"/>
    </row>
    <row r="42">
      <c r="A42" s="24">
        <v>45703.0</v>
      </c>
      <c r="B42" s="6" t="s">
        <v>232</v>
      </c>
      <c r="C42" s="4">
        <v>1016.8</v>
      </c>
      <c r="D42" s="9" t="s">
        <v>164</v>
      </c>
      <c r="E42" s="27"/>
    </row>
    <row r="43">
      <c r="A43" s="24">
        <v>45703.0</v>
      </c>
      <c r="B43" s="6" t="s">
        <v>125</v>
      </c>
      <c r="C43" s="4">
        <v>4.51</v>
      </c>
      <c r="D43" s="9" t="s">
        <v>126</v>
      </c>
      <c r="E43" s="27"/>
    </row>
    <row r="44">
      <c r="A44" s="24">
        <v>45703.0</v>
      </c>
      <c r="B44" s="6" t="s">
        <v>233</v>
      </c>
      <c r="C44" s="4">
        <v>93.79</v>
      </c>
      <c r="D44" s="9" t="s">
        <v>158</v>
      </c>
      <c r="E44" s="27"/>
    </row>
    <row r="45">
      <c r="A45" s="24">
        <v>45703.0</v>
      </c>
      <c r="B45" s="6" t="s">
        <v>160</v>
      </c>
      <c r="C45" s="4">
        <v>110.13</v>
      </c>
      <c r="D45" s="9" t="s">
        <v>153</v>
      </c>
      <c r="E45" s="27"/>
    </row>
    <row r="46">
      <c r="A46" s="24">
        <v>45703.0</v>
      </c>
      <c r="B46" s="6" t="s">
        <v>209</v>
      </c>
      <c r="C46" s="4">
        <v>57.27</v>
      </c>
      <c r="D46" s="9" t="s">
        <v>139</v>
      </c>
      <c r="E46" s="27"/>
    </row>
    <row r="47">
      <c r="A47" s="24">
        <v>45703.0</v>
      </c>
      <c r="B47" s="6" t="s">
        <v>209</v>
      </c>
      <c r="C47" s="4">
        <v>101.69</v>
      </c>
      <c r="D47" s="9" t="s">
        <v>139</v>
      </c>
      <c r="E47" s="27"/>
    </row>
    <row r="48">
      <c r="A48" s="24">
        <v>45703.0</v>
      </c>
      <c r="B48" s="6" t="s">
        <v>193</v>
      </c>
      <c r="C48" s="4">
        <v>27.99</v>
      </c>
      <c r="D48" s="9" t="s">
        <v>123</v>
      </c>
      <c r="E48" s="27"/>
    </row>
    <row r="49">
      <c r="A49" s="24">
        <v>45702.0</v>
      </c>
      <c r="B49" s="6" t="s">
        <v>189</v>
      </c>
      <c r="C49" s="4">
        <v>59.77</v>
      </c>
      <c r="D49" s="9" t="s">
        <v>121</v>
      </c>
      <c r="E49" s="27"/>
    </row>
    <row r="50">
      <c r="A50" s="24">
        <v>45702.0</v>
      </c>
      <c r="B50" s="6" t="s">
        <v>117</v>
      </c>
      <c r="C50" s="4">
        <v>88.73</v>
      </c>
      <c r="D50" s="9" t="s">
        <v>110</v>
      </c>
      <c r="E50" s="27"/>
    </row>
    <row r="51">
      <c r="A51" s="24">
        <v>45702.0</v>
      </c>
      <c r="B51" s="6" t="s">
        <v>136</v>
      </c>
      <c r="C51" s="4">
        <v>46.12</v>
      </c>
      <c r="D51" s="9" t="s">
        <v>137</v>
      </c>
      <c r="E51" s="27"/>
    </row>
    <row r="52">
      <c r="A52" s="24">
        <v>45702.0</v>
      </c>
      <c r="B52" s="6" t="s">
        <v>130</v>
      </c>
      <c r="C52" s="4">
        <v>13.0</v>
      </c>
      <c r="D52" s="9" t="s">
        <v>131</v>
      </c>
      <c r="E52" s="27"/>
    </row>
    <row r="53">
      <c r="A53" s="24">
        <v>45702.0</v>
      </c>
      <c r="B53" s="6" t="s">
        <v>234</v>
      </c>
      <c r="C53" s="4">
        <v>14.68</v>
      </c>
      <c r="D53" s="9" t="s">
        <v>137</v>
      </c>
      <c r="E53" s="27"/>
    </row>
    <row r="54">
      <c r="A54" s="24">
        <v>45702.0</v>
      </c>
      <c r="B54" s="6" t="s">
        <v>173</v>
      </c>
      <c r="C54" s="4">
        <v>11.29</v>
      </c>
      <c r="D54" s="9" t="s">
        <v>126</v>
      </c>
      <c r="E54" s="27"/>
    </row>
    <row r="55">
      <c r="A55" s="24">
        <v>45702.0</v>
      </c>
      <c r="B55" s="6" t="s">
        <v>235</v>
      </c>
      <c r="C55" s="4">
        <v>30.96</v>
      </c>
      <c r="D55" s="9" t="s">
        <v>134</v>
      </c>
      <c r="E55" s="27"/>
    </row>
    <row r="56">
      <c r="A56" s="24">
        <v>45701.0</v>
      </c>
      <c r="B56" s="6" t="s">
        <v>175</v>
      </c>
      <c r="C56" s="4">
        <v>11.29</v>
      </c>
      <c r="D56" s="9" t="s">
        <v>126</v>
      </c>
      <c r="E56" s="27"/>
    </row>
    <row r="57">
      <c r="A57" s="24">
        <v>45701.0</v>
      </c>
      <c r="B57" s="6" t="s">
        <v>174</v>
      </c>
      <c r="C57" s="4">
        <v>39.82</v>
      </c>
      <c r="D57" s="9" t="s">
        <v>161</v>
      </c>
      <c r="E57" s="27"/>
    </row>
    <row r="58">
      <c r="A58" s="24">
        <v>45701.0</v>
      </c>
      <c r="B58" s="26" t="s">
        <v>236</v>
      </c>
      <c r="C58" s="4">
        <v>22.83</v>
      </c>
      <c r="D58" s="9" t="s">
        <v>147</v>
      </c>
      <c r="E58" s="27"/>
    </row>
    <row r="59">
      <c r="A59" s="24">
        <v>45701.0</v>
      </c>
      <c r="B59" s="26" t="s">
        <v>236</v>
      </c>
      <c r="C59" s="4">
        <v>40.48</v>
      </c>
      <c r="D59" s="9" t="s">
        <v>147</v>
      </c>
      <c r="E59" s="27"/>
    </row>
    <row r="60">
      <c r="A60" s="24">
        <v>45700.0</v>
      </c>
      <c r="B60" s="6" t="s">
        <v>130</v>
      </c>
      <c r="C60" s="4">
        <v>4.52</v>
      </c>
      <c r="D60" s="9" t="s">
        <v>131</v>
      </c>
      <c r="E60" s="27"/>
    </row>
    <row r="61">
      <c r="A61" s="24">
        <v>45700.0</v>
      </c>
      <c r="B61" s="26" t="s">
        <v>237</v>
      </c>
      <c r="C61" s="4">
        <v>161.88</v>
      </c>
      <c r="D61" s="9" t="s">
        <v>220</v>
      </c>
      <c r="E61" s="27"/>
    </row>
    <row r="62">
      <c r="A62" s="24">
        <v>45698.0</v>
      </c>
      <c r="B62" s="6" t="s">
        <v>178</v>
      </c>
      <c r="C62" s="4">
        <v>4.51</v>
      </c>
      <c r="D62" s="9" t="s">
        <v>124</v>
      </c>
      <c r="E62" s="27"/>
    </row>
    <row r="63">
      <c r="A63" s="24">
        <v>45698.0</v>
      </c>
      <c r="B63" s="6" t="s">
        <v>178</v>
      </c>
      <c r="C63" s="4">
        <v>4.51</v>
      </c>
      <c r="D63" s="9" t="s">
        <v>124</v>
      </c>
      <c r="E63" s="27"/>
    </row>
    <row r="64">
      <c r="A64" s="24">
        <v>45698.0</v>
      </c>
      <c r="B64" s="6" t="s">
        <v>130</v>
      </c>
      <c r="C64" s="4">
        <v>125.43</v>
      </c>
      <c r="D64" s="9" t="s">
        <v>131</v>
      </c>
      <c r="E64" s="27"/>
    </row>
    <row r="65">
      <c r="A65" s="24">
        <v>45697.0</v>
      </c>
      <c r="B65" s="6" t="s">
        <v>189</v>
      </c>
      <c r="C65" s="4">
        <v>123.34</v>
      </c>
      <c r="D65" s="9" t="s">
        <v>121</v>
      </c>
      <c r="E65" s="27"/>
    </row>
    <row r="66">
      <c r="A66" s="24">
        <v>45697.0</v>
      </c>
      <c r="B66" s="6" t="s">
        <v>125</v>
      </c>
      <c r="C66" s="4">
        <v>5.64</v>
      </c>
      <c r="D66" s="9" t="s">
        <v>126</v>
      </c>
      <c r="E66" s="27"/>
    </row>
    <row r="67">
      <c r="A67" s="24">
        <v>45697.0</v>
      </c>
      <c r="B67" s="6" t="s">
        <v>125</v>
      </c>
      <c r="C67" s="4">
        <v>22.59</v>
      </c>
      <c r="D67" s="9" t="s">
        <v>126</v>
      </c>
      <c r="E67" s="27"/>
    </row>
    <row r="68">
      <c r="A68" s="24">
        <v>45697.0</v>
      </c>
      <c r="B68" s="6" t="s">
        <v>117</v>
      </c>
      <c r="C68" s="4">
        <v>61.45</v>
      </c>
      <c r="D68" s="9" t="s">
        <v>110</v>
      </c>
      <c r="E68" s="27"/>
    </row>
    <row r="69">
      <c r="A69" s="24">
        <v>45697.0</v>
      </c>
      <c r="B69" s="6" t="s">
        <v>115</v>
      </c>
      <c r="C69" s="4">
        <v>64.5</v>
      </c>
      <c r="D69" s="9" t="s">
        <v>116</v>
      </c>
      <c r="E69" s="27"/>
    </row>
    <row r="70">
      <c r="A70" s="24">
        <v>45697.0</v>
      </c>
      <c r="B70" s="6" t="s">
        <v>179</v>
      </c>
      <c r="C70" s="4">
        <v>11.29</v>
      </c>
      <c r="D70" s="9" t="s">
        <v>134</v>
      </c>
      <c r="E70" s="27"/>
    </row>
    <row r="71">
      <c r="A71" s="24">
        <v>45696.0</v>
      </c>
      <c r="B71" s="6" t="s">
        <v>238</v>
      </c>
      <c r="C71" s="4">
        <v>11.95</v>
      </c>
      <c r="D71" s="9" t="s">
        <v>134</v>
      </c>
      <c r="E71" s="27"/>
    </row>
    <row r="72">
      <c r="A72" s="24">
        <v>45696.0</v>
      </c>
      <c r="B72" s="6" t="s">
        <v>180</v>
      </c>
      <c r="C72" s="4">
        <v>50.0</v>
      </c>
      <c r="D72" s="9" t="s">
        <v>132</v>
      </c>
      <c r="E72" s="27"/>
    </row>
    <row r="73">
      <c r="A73" s="24">
        <v>45696.0</v>
      </c>
      <c r="B73" s="26" t="s">
        <v>142</v>
      </c>
      <c r="C73" s="4">
        <v>3.38</v>
      </c>
      <c r="D73" s="9" t="s">
        <v>124</v>
      </c>
      <c r="E73" s="27"/>
    </row>
    <row r="74">
      <c r="A74" s="24">
        <v>45696.0</v>
      </c>
      <c r="B74" s="26" t="s">
        <v>142</v>
      </c>
      <c r="C74" s="4">
        <v>10.16</v>
      </c>
      <c r="D74" s="9" t="s">
        <v>124</v>
      </c>
      <c r="E74" s="27"/>
    </row>
    <row r="75">
      <c r="A75" s="24">
        <v>45695.0</v>
      </c>
      <c r="B75" s="6" t="s">
        <v>125</v>
      </c>
      <c r="C75" s="4">
        <v>5.65</v>
      </c>
      <c r="D75" s="9" t="s">
        <v>126</v>
      </c>
      <c r="E75" s="27"/>
    </row>
    <row r="76">
      <c r="A76" s="24">
        <v>45695.0</v>
      </c>
      <c r="B76" s="6" t="s">
        <v>125</v>
      </c>
      <c r="C76" s="4">
        <v>11.29</v>
      </c>
      <c r="D76" s="9" t="s">
        <v>126</v>
      </c>
      <c r="E76" s="27"/>
    </row>
    <row r="77">
      <c r="A77" s="24">
        <v>45695.0</v>
      </c>
      <c r="B77" s="6" t="s">
        <v>109</v>
      </c>
      <c r="C77" s="4">
        <v>89.94</v>
      </c>
      <c r="D77" s="9" t="s">
        <v>110</v>
      </c>
      <c r="E77" s="27"/>
    </row>
    <row r="78">
      <c r="A78" s="24">
        <v>45694.0</v>
      </c>
      <c r="B78" s="6" t="s">
        <v>130</v>
      </c>
      <c r="C78" s="4">
        <v>5.65</v>
      </c>
      <c r="D78" s="9" t="s">
        <v>131</v>
      </c>
      <c r="E78" s="27"/>
    </row>
    <row r="79">
      <c r="A79" s="24">
        <v>45694.0</v>
      </c>
      <c r="B79" s="6" t="s">
        <v>239</v>
      </c>
      <c r="C79" s="4">
        <v>38.37</v>
      </c>
      <c r="D79" s="9" t="s">
        <v>147</v>
      </c>
      <c r="E79" s="27"/>
    </row>
    <row r="80">
      <c r="A80" s="24">
        <v>45694.0</v>
      </c>
      <c r="B80" s="6" t="s">
        <v>240</v>
      </c>
      <c r="C80" s="4">
        <v>23.72</v>
      </c>
      <c r="D80" s="9" t="s">
        <v>121</v>
      </c>
      <c r="E80" s="27"/>
    </row>
    <row r="81">
      <c r="A81" s="24">
        <v>45693.0</v>
      </c>
      <c r="B81" s="6" t="s">
        <v>154</v>
      </c>
      <c r="C81" s="4">
        <v>3.0</v>
      </c>
      <c r="D81" s="9" t="s">
        <v>155</v>
      </c>
      <c r="E81" s="27"/>
    </row>
    <row r="82">
      <c r="A82" s="24">
        <v>45693.0</v>
      </c>
      <c r="B82" s="6" t="s">
        <v>128</v>
      </c>
      <c r="C82" s="4">
        <v>-1500.0</v>
      </c>
      <c r="D82" s="9" t="s">
        <v>128</v>
      </c>
      <c r="E82" s="27"/>
    </row>
    <row r="83">
      <c r="A83" s="24">
        <v>45692.0</v>
      </c>
      <c r="B83" s="6" t="s">
        <v>241</v>
      </c>
      <c r="C83" s="4">
        <v>42.86</v>
      </c>
      <c r="D83" s="9" t="s">
        <v>134</v>
      </c>
      <c r="E83" s="27"/>
    </row>
    <row r="84">
      <c r="A84" s="24">
        <v>45692.0</v>
      </c>
      <c r="B84" s="6" t="s">
        <v>242</v>
      </c>
      <c r="C84" s="4">
        <v>103.95</v>
      </c>
      <c r="D84" s="9" t="s">
        <v>141</v>
      </c>
      <c r="E84" s="27"/>
    </row>
    <row r="85">
      <c r="A85" s="24">
        <v>45692.0</v>
      </c>
      <c r="B85" s="6" t="s">
        <v>117</v>
      </c>
      <c r="C85" s="4">
        <v>167.76</v>
      </c>
      <c r="D85" s="9" t="s">
        <v>110</v>
      </c>
      <c r="E85" s="27"/>
    </row>
    <row r="86">
      <c r="A86" s="24">
        <v>45691.0</v>
      </c>
      <c r="B86" s="6" t="s">
        <v>243</v>
      </c>
      <c r="C86" s="4">
        <v>10.0</v>
      </c>
      <c r="D86" s="9" t="s">
        <v>134</v>
      </c>
      <c r="E86" s="27"/>
    </row>
    <row r="87">
      <c r="A87" s="24">
        <v>45691.0</v>
      </c>
      <c r="B87" s="6" t="s">
        <v>243</v>
      </c>
      <c r="C87" s="4">
        <v>20.27</v>
      </c>
      <c r="D87" s="9" t="s">
        <v>134</v>
      </c>
      <c r="E87" s="27"/>
    </row>
    <row r="88">
      <c r="A88" s="24">
        <v>45691.0</v>
      </c>
      <c r="B88" s="6" t="s">
        <v>244</v>
      </c>
      <c r="C88" s="4">
        <v>9.03</v>
      </c>
      <c r="D88" s="9" t="s">
        <v>126</v>
      </c>
      <c r="E88" s="27"/>
    </row>
    <row r="89">
      <c r="A89" s="24">
        <v>45691.0</v>
      </c>
      <c r="B89" s="6" t="s">
        <v>130</v>
      </c>
      <c r="C89" s="4">
        <v>125.43</v>
      </c>
      <c r="D89" s="9" t="s">
        <v>131</v>
      </c>
      <c r="E89" s="27"/>
    </row>
    <row r="90">
      <c r="A90" s="24">
        <v>45691.0</v>
      </c>
      <c r="B90" s="6" t="s">
        <v>245</v>
      </c>
      <c r="C90" s="4">
        <v>380.31</v>
      </c>
      <c r="D90" s="9" t="s">
        <v>230</v>
      </c>
      <c r="E90" s="27"/>
    </row>
    <row r="91">
      <c r="A91" s="24">
        <v>45690.0</v>
      </c>
      <c r="B91" s="6" t="s">
        <v>243</v>
      </c>
      <c r="C91" s="4">
        <v>44.77</v>
      </c>
      <c r="D91" s="9" t="s">
        <v>134</v>
      </c>
      <c r="E91" s="27"/>
    </row>
    <row r="92">
      <c r="A92" s="24">
        <v>45689.0</v>
      </c>
      <c r="B92" s="6" t="s">
        <v>246</v>
      </c>
      <c r="C92" s="4">
        <v>11.18</v>
      </c>
      <c r="D92" s="9" t="s">
        <v>134</v>
      </c>
      <c r="E92" s="27"/>
    </row>
    <row r="93">
      <c r="A93" s="24">
        <v>45689.0</v>
      </c>
      <c r="B93" s="27" t="s">
        <v>178</v>
      </c>
      <c r="C93" s="4">
        <v>18.07</v>
      </c>
      <c r="D93" s="9" t="s">
        <v>124</v>
      </c>
      <c r="E93" s="27"/>
    </row>
    <row r="94">
      <c r="A94" s="24">
        <v>45689.0</v>
      </c>
      <c r="B94" s="6" t="s">
        <v>211</v>
      </c>
      <c r="C94" s="4">
        <v>11.57</v>
      </c>
      <c r="D94" s="9" t="s">
        <v>110</v>
      </c>
      <c r="E94" s="27"/>
    </row>
    <row r="95">
      <c r="A95" s="24">
        <v>45689.0</v>
      </c>
      <c r="B95" s="6" t="s">
        <v>191</v>
      </c>
      <c r="C95" s="4">
        <v>19.45</v>
      </c>
      <c r="D95" s="9" t="s">
        <v>149</v>
      </c>
      <c r="E95" s="27"/>
    </row>
    <row r="96">
      <c r="A96" s="24">
        <v>45689.0</v>
      </c>
      <c r="B96" s="26" t="s">
        <v>247</v>
      </c>
      <c r="C96" s="4">
        <v>17.77</v>
      </c>
      <c r="D96" s="9" t="s">
        <v>123</v>
      </c>
      <c r="E96" s="27"/>
    </row>
    <row r="97">
      <c r="A97" s="24">
        <v>45715.0</v>
      </c>
      <c r="B97" s="6" t="s">
        <v>248</v>
      </c>
      <c r="C97" s="4">
        <v>82.0</v>
      </c>
      <c r="D97" s="9" t="s">
        <v>112</v>
      </c>
      <c r="E97" s="27"/>
    </row>
    <row r="98">
      <c r="A98" s="24">
        <v>45715.0</v>
      </c>
      <c r="B98" s="6" t="s">
        <v>213</v>
      </c>
      <c r="C98" s="4">
        <v>-859.07</v>
      </c>
      <c r="D98" s="9" t="s">
        <v>128</v>
      </c>
      <c r="E98" s="27"/>
    </row>
    <row r="99">
      <c r="A99" s="24">
        <v>45714.0</v>
      </c>
      <c r="B99" s="6" t="s">
        <v>249</v>
      </c>
      <c r="C99" s="4">
        <v>22.02</v>
      </c>
      <c r="D99" s="9" t="s">
        <v>139</v>
      </c>
      <c r="E99" s="27"/>
    </row>
    <row r="100">
      <c r="A100" s="24">
        <v>45712.0</v>
      </c>
      <c r="B100" s="6" t="s">
        <v>250</v>
      </c>
      <c r="C100" s="4">
        <v>17.97</v>
      </c>
      <c r="D100" s="9" t="s">
        <v>134</v>
      </c>
      <c r="E100" s="27"/>
    </row>
    <row r="101">
      <c r="A101" s="24">
        <v>45716.0</v>
      </c>
      <c r="B101" s="6" t="s">
        <v>251</v>
      </c>
      <c r="C101" s="4">
        <v>153.15</v>
      </c>
      <c r="D101" s="9" t="s">
        <v>228</v>
      </c>
    </row>
    <row r="102">
      <c r="A102" s="24">
        <v>45716.0</v>
      </c>
      <c r="B102" s="6" t="s">
        <v>251</v>
      </c>
      <c r="C102" s="4">
        <v>211.95</v>
      </c>
      <c r="D102" s="9" t="s">
        <v>228</v>
      </c>
    </row>
    <row r="103">
      <c r="A103" s="24">
        <v>45716.0</v>
      </c>
      <c r="B103" s="6" t="s">
        <v>125</v>
      </c>
      <c r="C103" s="4">
        <v>24.85</v>
      </c>
      <c r="D103" s="9" t="s">
        <v>126</v>
      </c>
    </row>
    <row r="104">
      <c r="A104" s="24">
        <v>45716.0</v>
      </c>
      <c r="B104" s="6" t="s">
        <v>252</v>
      </c>
      <c r="C104" s="4">
        <v>19.51</v>
      </c>
      <c r="D104" s="9" t="s">
        <v>134</v>
      </c>
    </row>
    <row r="105">
      <c r="A105" s="24">
        <v>45716.0</v>
      </c>
      <c r="B105" s="6" t="s">
        <v>197</v>
      </c>
      <c r="C105" s="4">
        <v>60.65</v>
      </c>
      <c r="D105" s="9" t="s">
        <v>149</v>
      </c>
    </row>
    <row r="106">
      <c r="A106" s="24">
        <v>45716.0</v>
      </c>
      <c r="B106" s="6" t="s">
        <v>253</v>
      </c>
      <c r="C106" s="4">
        <v>19.0</v>
      </c>
      <c r="D106" s="9" t="s">
        <v>129</v>
      </c>
    </row>
    <row r="107">
      <c r="A107" s="24">
        <v>45715.0</v>
      </c>
      <c r="B107" s="6" t="s">
        <v>125</v>
      </c>
      <c r="C107" s="4">
        <v>14.68</v>
      </c>
      <c r="D107" s="9" t="s">
        <v>126</v>
      </c>
    </row>
    <row r="108">
      <c r="A108" s="24">
        <v>45715.0</v>
      </c>
      <c r="B108" s="6" t="s">
        <v>254</v>
      </c>
      <c r="C108" s="4">
        <v>85.13</v>
      </c>
      <c r="D108" s="9" t="s">
        <v>164</v>
      </c>
    </row>
    <row r="109">
      <c r="A109" s="24">
        <v>45715.0</v>
      </c>
      <c r="B109" s="6" t="s">
        <v>255</v>
      </c>
      <c r="C109" s="4">
        <v>40.18</v>
      </c>
      <c r="D109" s="9" t="s">
        <v>134</v>
      </c>
    </row>
    <row r="110">
      <c r="A110" s="24">
        <v>45715.0</v>
      </c>
      <c r="B110" s="6" t="s">
        <v>207</v>
      </c>
      <c r="C110" s="4">
        <v>14.68</v>
      </c>
      <c r="D110" s="9" t="s">
        <v>166</v>
      </c>
    </row>
    <row r="111">
      <c r="A111" s="24">
        <v>45714.0</v>
      </c>
      <c r="B111" s="6" t="s">
        <v>256</v>
      </c>
      <c r="C111" s="4">
        <v>49.1</v>
      </c>
      <c r="D111" s="9" t="s">
        <v>137</v>
      </c>
    </row>
    <row r="112">
      <c r="A112" s="24">
        <v>45714.0</v>
      </c>
      <c r="B112" s="6" t="s">
        <v>194</v>
      </c>
      <c r="C112" s="4">
        <v>36.11</v>
      </c>
      <c r="D112" s="9" t="s">
        <v>158</v>
      </c>
    </row>
    <row r="113">
      <c r="A113" s="24">
        <v>45714.0</v>
      </c>
      <c r="B113" s="6" t="s">
        <v>257</v>
      </c>
      <c r="C113" s="4">
        <v>23.09</v>
      </c>
      <c r="D113" s="9" t="s">
        <v>134</v>
      </c>
    </row>
    <row r="114">
      <c r="A114" s="24">
        <v>45714.0</v>
      </c>
      <c r="B114" s="6" t="s">
        <v>258</v>
      </c>
      <c r="C114" s="4">
        <v>121.23</v>
      </c>
      <c r="D114" s="9" t="s">
        <v>164</v>
      </c>
    </row>
    <row r="115">
      <c r="A115" s="24">
        <v>45714.0</v>
      </c>
      <c r="B115" s="6" t="s">
        <v>259</v>
      </c>
      <c r="C115" s="4">
        <v>23.5</v>
      </c>
      <c r="D115" s="9" t="s">
        <v>164</v>
      </c>
    </row>
    <row r="116">
      <c r="A116" s="24">
        <v>45714.0</v>
      </c>
      <c r="B116" s="6" t="s">
        <v>260</v>
      </c>
      <c r="C116" s="4">
        <v>59.81</v>
      </c>
      <c r="D116" s="9" t="s">
        <v>123</v>
      </c>
    </row>
    <row r="117">
      <c r="A117" s="24">
        <v>45714.0</v>
      </c>
      <c r="B117" s="6" t="s">
        <v>261</v>
      </c>
      <c r="C117" s="4">
        <v>12.54</v>
      </c>
      <c r="D117" s="9" t="s">
        <v>137</v>
      </c>
    </row>
    <row r="118">
      <c r="A118" s="24">
        <v>45714.0</v>
      </c>
      <c r="B118" s="6" t="s">
        <v>262</v>
      </c>
      <c r="C118" s="4">
        <v>53.32</v>
      </c>
      <c r="D118" s="9" t="s">
        <v>112</v>
      </c>
    </row>
    <row r="119">
      <c r="A119" s="24">
        <v>45714.0</v>
      </c>
      <c r="B119" s="6" t="s">
        <v>150</v>
      </c>
      <c r="C119" s="4">
        <v>20.0</v>
      </c>
      <c r="D119" s="9" t="s">
        <v>135</v>
      </c>
    </row>
    <row r="120">
      <c r="A120" s="24">
        <v>45714.0</v>
      </c>
      <c r="B120" s="26" t="s">
        <v>263</v>
      </c>
      <c r="C120" s="4">
        <v>170.12</v>
      </c>
      <c r="D120" s="9" t="s">
        <v>145</v>
      </c>
    </row>
    <row r="121">
      <c r="A121" s="24">
        <v>45713.0</v>
      </c>
      <c r="B121" s="6" t="s">
        <v>264</v>
      </c>
      <c r="C121" s="4">
        <v>15.81</v>
      </c>
      <c r="D121" s="9" t="s">
        <v>134</v>
      </c>
    </row>
  </sheetData>
  <autoFilter ref="$A$1:$Y$100">
    <sortState ref="A1:Y100">
      <sortCondition descending="1" ref="A1:A100"/>
      <sortCondition descending="1" ref="D1:D100"/>
    </sortState>
  </autoFilter>
  <dataValidations>
    <dataValidation type="list" allowBlank="1" showErrorMessage="1" sqref="D97:D12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SUB,NETFLIX,INSURANCE"</formula1>
    </dataValidation>
    <dataValidation type="list" allowBlank="1" showErrorMessage="1" sqref="D2:D7 D9:D10 D13:D15 D22:D25 D28:D39 D41:D53 D56:D57 D60 D62:D68 D71:D76 D78:D81 D83:D94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BEAUTY,TRAVEL,MOBILE,ALCOHOL,CANNABIS,GIFTS,NEWSPAPERS,ENTERTAINMENT,PAYMENT,INTERNET,RELIANCE,CANNA"&amp;"BIS,CLOTHING,VET BILL"</formula1>
    </dataValidation>
    <dataValidation type="list" allowBlank="1" showErrorMessage="1" sqref="D8 D11:D12 D16:D21 D26:D27 D40 D54:D55 D58:D59 D61 D69:D70 D77 D82 D95:D96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SUB,NETFLIX"</formula1>
    </dataValidation>
  </dataValidations>
  <hyperlinks>
    <hyperlink r:id="rId2" ref="B33"/>
    <hyperlink r:id="rId3" ref="B34"/>
    <hyperlink r:id="rId4" ref="B40"/>
    <hyperlink r:id="rId5" ref="B58"/>
    <hyperlink r:id="rId6" ref="B59"/>
    <hyperlink r:id="rId7" ref="B61"/>
    <hyperlink r:id="rId8" ref="B73"/>
    <hyperlink r:id="rId9" ref="B74"/>
    <hyperlink r:id="rId10" ref="B96"/>
    <hyperlink r:id="rId11" ref="B120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45740.0</v>
      </c>
      <c r="B2" s="6" t="s">
        <v>113</v>
      </c>
      <c r="C2" s="4">
        <v>20.22</v>
      </c>
      <c r="D2" s="9" t="s">
        <v>114</v>
      </c>
    </row>
    <row r="3">
      <c r="A3" s="24">
        <v>45740.0</v>
      </c>
      <c r="B3" s="6" t="s">
        <v>172</v>
      </c>
      <c r="C3" s="4">
        <v>41.81</v>
      </c>
      <c r="D3" s="9" t="s">
        <v>147</v>
      </c>
    </row>
    <row r="4">
      <c r="A4" s="28">
        <v>45740.0</v>
      </c>
      <c r="B4" s="6" t="s">
        <v>225</v>
      </c>
      <c r="C4" s="4">
        <v>65.1</v>
      </c>
      <c r="D4" s="9" t="s">
        <v>110</v>
      </c>
    </row>
    <row r="5">
      <c r="A5" s="28">
        <v>45740.0</v>
      </c>
      <c r="B5" s="6" t="s">
        <v>115</v>
      </c>
      <c r="C5" s="4">
        <v>64.0</v>
      </c>
      <c r="D5" s="9" t="s">
        <v>116</v>
      </c>
    </row>
    <row r="6">
      <c r="A6" s="28">
        <v>45740.0</v>
      </c>
      <c r="B6" s="6" t="s">
        <v>226</v>
      </c>
      <c r="C6" s="4">
        <v>156.14</v>
      </c>
      <c r="D6" s="9" t="s">
        <v>121</v>
      </c>
    </row>
    <row r="7">
      <c r="A7" s="28">
        <v>45740.0</v>
      </c>
      <c r="B7" s="6" t="s">
        <v>265</v>
      </c>
      <c r="C7" s="4">
        <v>10.45</v>
      </c>
      <c r="D7" s="9" t="s">
        <v>145</v>
      </c>
    </row>
    <row r="8">
      <c r="A8" s="24">
        <v>45739.0</v>
      </c>
      <c r="B8" s="6" t="s">
        <v>117</v>
      </c>
      <c r="C8" s="4">
        <v>190.3</v>
      </c>
      <c r="D8" s="9" t="s">
        <v>110</v>
      </c>
    </row>
    <row r="9">
      <c r="A9" s="24">
        <v>45739.0</v>
      </c>
      <c r="B9" s="6" t="s">
        <v>172</v>
      </c>
      <c r="C9" s="4">
        <v>65.47</v>
      </c>
      <c r="D9" s="9" t="s">
        <v>147</v>
      </c>
    </row>
    <row r="10">
      <c r="A10" s="28">
        <v>45739.0</v>
      </c>
      <c r="B10" s="6" t="s">
        <v>138</v>
      </c>
      <c r="C10" s="4">
        <v>26.34</v>
      </c>
      <c r="D10" s="9" t="s">
        <v>123</v>
      </c>
    </row>
    <row r="11">
      <c r="A11" s="28">
        <v>45739.0</v>
      </c>
      <c r="B11" s="6" t="s">
        <v>211</v>
      </c>
      <c r="C11" s="4">
        <v>18.42</v>
      </c>
      <c r="D11" s="9" t="s">
        <v>110</v>
      </c>
    </row>
    <row r="12">
      <c r="A12" s="28">
        <v>45739.0</v>
      </c>
      <c r="B12" s="6" t="s">
        <v>150</v>
      </c>
      <c r="C12" s="4">
        <v>10.0</v>
      </c>
      <c r="D12" s="9" t="s">
        <v>135</v>
      </c>
    </row>
    <row r="13">
      <c r="A13" s="28">
        <v>45738.0</v>
      </c>
      <c r="B13" s="6" t="s">
        <v>221</v>
      </c>
      <c r="C13" s="4">
        <v>22.76</v>
      </c>
      <c r="D13" s="9" t="s">
        <v>135</v>
      </c>
    </row>
    <row r="14">
      <c r="A14" s="28">
        <v>45738.0</v>
      </c>
      <c r="B14" s="6" t="s">
        <v>266</v>
      </c>
      <c r="C14" s="4">
        <v>35.03</v>
      </c>
      <c r="D14" s="9" t="s">
        <v>134</v>
      </c>
    </row>
    <row r="15">
      <c r="A15" s="24">
        <v>45737.0</v>
      </c>
      <c r="B15" s="6" t="s">
        <v>267</v>
      </c>
      <c r="C15" s="4">
        <v>71.35</v>
      </c>
      <c r="D15" s="9" t="s">
        <v>268</v>
      </c>
    </row>
    <row r="16">
      <c r="A16" s="24">
        <v>45737.0</v>
      </c>
      <c r="B16" s="6" t="s">
        <v>269</v>
      </c>
      <c r="C16" s="4">
        <v>2.59</v>
      </c>
      <c r="D16" s="9" t="s">
        <v>110</v>
      </c>
    </row>
    <row r="17">
      <c r="A17" s="24">
        <v>45737.0</v>
      </c>
      <c r="B17" s="6" t="s">
        <v>269</v>
      </c>
      <c r="C17" s="4">
        <v>170.0</v>
      </c>
      <c r="D17" s="9" t="s">
        <v>110</v>
      </c>
    </row>
    <row r="18">
      <c r="A18" s="24">
        <v>45737.0</v>
      </c>
      <c r="B18" s="6" t="s">
        <v>270</v>
      </c>
      <c r="C18" s="4">
        <v>1200.06</v>
      </c>
      <c r="D18" s="9" t="s">
        <v>145</v>
      </c>
    </row>
    <row r="19">
      <c r="A19" s="28">
        <v>45737.0</v>
      </c>
      <c r="B19" s="6" t="s">
        <v>271</v>
      </c>
      <c r="C19" s="4">
        <v>146.16</v>
      </c>
      <c r="D19" s="9" t="s">
        <v>145</v>
      </c>
    </row>
    <row r="20">
      <c r="A20" s="24">
        <v>45736.0</v>
      </c>
      <c r="B20" s="6" t="s">
        <v>272</v>
      </c>
      <c r="C20" s="4">
        <v>71.63</v>
      </c>
      <c r="D20" s="9" t="s">
        <v>112</v>
      </c>
    </row>
    <row r="21">
      <c r="A21" s="24">
        <v>45736.0</v>
      </c>
      <c r="B21" s="6" t="s">
        <v>273</v>
      </c>
      <c r="C21" s="4">
        <v>9.04</v>
      </c>
      <c r="D21" s="9" t="s">
        <v>124</v>
      </c>
    </row>
    <row r="22">
      <c r="A22" s="24">
        <v>45736.0</v>
      </c>
      <c r="B22" s="6" t="s">
        <v>151</v>
      </c>
      <c r="C22" s="4">
        <v>45.2</v>
      </c>
      <c r="D22" s="9" t="s">
        <v>152</v>
      </c>
    </row>
    <row r="23">
      <c r="A23" s="28">
        <v>45736.0</v>
      </c>
      <c r="B23" s="6" t="s">
        <v>274</v>
      </c>
      <c r="C23" s="4">
        <v>63.21</v>
      </c>
      <c r="D23" s="9" t="s">
        <v>145</v>
      </c>
    </row>
    <row r="24">
      <c r="A24" s="24">
        <v>45735.0</v>
      </c>
      <c r="B24" s="6" t="s">
        <v>275</v>
      </c>
      <c r="C24" s="4">
        <v>151.2</v>
      </c>
      <c r="D24" s="9" t="s">
        <v>145</v>
      </c>
    </row>
    <row r="25">
      <c r="A25" s="24">
        <v>45735.0</v>
      </c>
      <c r="B25" s="6" t="s">
        <v>160</v>
      </c>
      <c r="C25" s="4">
        <v>248.44</v>
      </c>
      <c r="D25" s="9" t="s">
        <v>153</v>
      </c>
    </row>
    <row r="26">
      <c r="A26" s="28">
        <v>45735.0</v>
      </c>
      <c r="B26" s="6" t="s">
        <v>274</v>
      </c>
      <c r="C26" s="4">
        <v>93.95</v>
      </c>
      <c r="D26" s="9" t="s">
        <v>145</v>
      </c>
    </row>
    <row r="27">
      <c r="A27" s="24">
        <v>45734.0</v>
      </c>
      <c r="B27" s="6" t="s">
        <v>117</v>
      </c>
      <c r="C27" s="4">
        <v>42.64</v>
      </c>
      <c r="D27" s="9" t="s">
        <v>110</v>
      </c>
    </row>
    <row r="28">
      <c r="A28" s="24">
        <v>45734.0</v>
      </c>
      <c r="B28" s="6" t="s">
        <v>270</v>
      </c>
      <c r="C28" s="4">
        <v>135.6</v>
      </c>
      <c r="D28" s="9" t="s">
        <v>124</v>
      </c>
    </row>
    <row r="29">
      <c r="A29" s="28">
        <v>45734.0</v>
      </c>
      <c r="B29" s="6" t="s">
        <v>276</v>
      </c>
      <c r="C29" s="4">
        <v>350.3</v>
      </c>
      <c r="D29" s="9" t="s">
        <v>220</v>
      </c>
    </row>
    <row r="30">
      <c r="A30" s="24">
        <v>45733.0</v>
      </c>
      <c r="B30" s="6" t="s">
        <v>117</v>
      </c>
      <c r="C30" s="4">
        <v>49.38</v>
      </c>
      <c r="D30" s="9" t="s">
        <v>110</v>
      </c>
    </row>
    <row r="31">
      <c r="A31" s="24">
        <v>45733.0</v>
      </c>
      <c r="B31" s="6" t="s">
        <v>189</v>
      </c>
      <c r="C31" s="4">
        <v>103.95</v>
      </c>
      <c r="D31" s="9" t="s">
        <v>121</v>
      </c>
    </row>
    <row r="32">
      <c r="A32" s="24">
        <v>45732.0</v>
      </c>
      <c r="B32" s="6" t="s">
        <v>277</v>
      </c>
      <c r="C32" s="4">
        <v>50.0</v>
      </c>
      <c r="D32" s="9" t="s">
        <v>132</v>
      </c>
    </row>
    <row r="33">
      <c r="A33" s="24">
        <v>45732.0</v>
      </c>
      <c r="B33" s="6" t="s">
        <v>278</v>
      </c>
      <c r="C33" s="4">
        <v>174.22</v>
      </c>
      <c r="D33" s="9" t="s">
        <v>110</v>
      </c>
    </row>
    <row r="34">
      <c r="A34" s="24">
        <v>45732.0</v>
      </c>
      <c r="B34" s="6" t="s">
        <v>243</v>
      </c>
      <c r="C34" s="4">
        <v>7.48</v>
      </c>
      <c r="D34" s="9" t="s">
        <v>134</v>
      </c>
    </row>
    <row r="35">
      <c r="A35" s="28">
        <v>45732.0</v>
      </c>
      <c r="B35" s="6" t="s">
        <v>128</v>
      </c>
      <c r="C35" s="4">
        <v>-1773.83</v>
      </c>
      <c r="D35" s="9" t="s">
        <v>128</v>
      </c>
    </row>
    <row r="36">
      <c r="A36" s="28">
        <v>45732.0</v>
      </c>
      <c r="B36" s="6" t="s">
        <v>279</v>
      </c>
      <c r="C36" s="4">
        <v>7.25</v>
      </c>
      <c r="D36" s="9" t="s">
        <v>139</v>
      </c>
    </row>
    <row r="37">
      <c r="A37" s="28">
        <v>45732.0</v>
      </c>
      <c r="B37" s="26" t="s">
        <v>280</v>
      </c>
      <c r="C37" s="4">
        <v>27.11</v>
      </c>
      <c r="D37" s="9" t="s">
        <v>156</v>
      </c>
    </row>
    <row r="38">
      <c r="A38" s="24">
        <v>45731.0</v>
      </c>
      <c r="B38" s="6" t="s">
        <v>125</v>
      </c>
      <c r="C38" s="4">
        <v>4.51</v>
      </c>
      <c r="D38" s="9" t="s">
        <v>126</v>
      </c>
    </row>
    <row r="39">
      <c r="A39" s="24">
        <v>45731.0</v>
      </c>
      <c r="B39" s="6" t="s">
        <v>243</v>
      </c>
      <c r="C39" s="4">
        <v>22.28</v>
      </c>
      <c r="D39" s="9" t="s">
        <v>134</v>
      </c>
    </row>
    <row r="40">
      <c r="A40" s="28">
        <v>45731.0</v>
      </c>
      <c r="B40" s="6" t="s">
        <v>281</v>
      </c>
      <c r="C40" s="4">
        <v>59.35</v>
      </c>
      <c r="D40" s="9" t="s">
        <v>112</v>
      </c>
    </row>
    <row r="41">
      <c r="A41" s="24">
        <v>45730.0</v>
      </c>
      <c r="B41" s="6" t="s">
        <v>282</v>
      </c>
      <c r="C41" s="4">
        <v>56.6</v>
      </c>
      <c r="D41" s="9" t="s">
        <v>137</v>
      </c>
    </row>
    <row r="42">
      <c r="A42" s="24">
        <v>45730.0</v>
      </c>
      <c r="B42" s="6" t="s">
        <v>278</v>
      </c>
      <c r="C42" s="4">
        <v>49.22</v>
      </c>
      <c r="D42" s="9" t="s">
        <v>110</v>
      </c>
    </row>
    <row r="43">
      <c r="A43" s="28">
        <v>45730.0</v>
      </c>
      <c r="B43" s="6" t="s">
        <v>173</v>
      </c>
      <c r="C43" s="4">
        <v>11.29</v>
      </c>
      <c r="D43" s="9" t="s">
        <v>126</v>
      </c>
    </row>
    <row r="44">
      <c r="A44" s="24">
        <v>45729.0</v>
      </c>
      <c r="B44" s="6" t="s">
        <v>175</v>
      </c>
      <c r="C44" s="4">
        <v>11.29</v>
      </c>
      <c r="D44" s="9" t="s">
        <v>126</v>
      </c>
    </row>
    <row r="45">
      <c r="A45" s="28">
        <v>45729.0</v>
      </c>
      <c r="B45" s="6" t="s">
        <v>115</v>
      </c>
      <c r="C45" s="4">
        <v>84.0</v>
      </c>
      <c r="D45" s="9" t="s">
        <v>116</v>
      </c>
    </row>
    <row r="46">
      <c r="A46" s="28">
        <v>45729.0</v>
      </c>
      <c r="B46" s="6" t="s">
        <v>225</v>
      </c>
      <c r="C46" s="4">
        <v>14.89</v>
      </c>
      <c r="D46" s="9" t="s">
        <v>110</v>
      </c>
    </row>
    <row r="47">
      <c r="A47" s="24">
        <v>45728.0</v>
      </c>
      <c r="B47" s="6" t="s">
        <v>117</v>
      </c>
      <c r="C47" s="4">
        <v>19.21</v>
      </c>
      <c r="D47" s="9" t="s">
        <v>110</v>
      </c>
    </row>
    <row r="48">
      <c r="A48" s="28">
        <v>45728.0</v>
      </c>
      <c r="B48" s="6" t="s">
        <v>235</v>
      </c>
      <c r="C48" s="4">
        <v>33.59</v>
      </c>
      <c r="D48" s="9" t="s">
        <v>134</v>
      </c>
    </row>
    <row r="49">
      <c r="A49" s="24">
        <v>45727.0</v>
      </c>
      <c r="B49" s="6" t="s">
        <v>283</v>
      </c>
      <c r="C49" s="4">
        <v>50.11</v>
      </c>
      <c r="D49" s="9" t="s">
        <v>268</v>
      </c>
    </row>
    <row r="50">
      <c r="A50" s="28">
        <v>45727.0</v>
      </c>
      <c r="B50" s="6" t="s">
        <v>200</v>
      </c>
      <c r="C50" s="4">
        <v>30.8</v>
      </c>
      <c r="D50" s="9" t="s">
        <v>134</v>
      </c>
    </row>
    <row r="51">
      <c r="A51" s="24">
        <v>45726.0</v>
      </c>
      <c r="B51" s="6" t="s">
        <v>178</v>
      </c>
      <c r="C51" s="4">
        <v>4.51</v>
      </c>
      <c r="D51" s="9" t="s">
        <v>124</v>
      </c>
    </row>
    <row r="52">
      <c r="A52" s="24">
        <v>45726.0</v>
      </c>
      <c r="B52" s="6" t="s">
        <v>178</v>
      </c>
      <c r="C52" s="4">
        <v>4.51</v>
      </c>
      <c r="D52" s="9" t="s">
        <v>124</v>
      </c>
    </row>
    <row r="53">
      <c r="A53" s="28">
        <v>45726.0</v>
      </c>
      <c r="B53" s="6" t="s">
        <v>284</v>
      </c>
      <c r="C53" s="4">
        <v>60.9</v>
      </c>
      <c r="D53" s="9" t="s">
        <v>145</v>
      </c>
    </row>
    <row r="54">
      <c r="A54" s="28">
        <v>45726.0</v>
      </c>
      <c r="B54" s="6" t="s">
        <v>285</v>
      </c>
      <c r="C54" s="4">
        <v>88.69</v>
      </c>
      <c r="D54" s="9" t="s">
        <v>164</v>
      </c>
    </row>
    <row r="55">
      <c r="A55" s="28">
        <v>45726.0</v>
      </c>
      <c r="B55" s="6" t="s">
        <v>286</v>
      </c>
      <c r="C55" s="4">
        <v>33.36</v>
      </c>
      <c r="D55" s="9" t="s">
        <v>145</v>
      </c>
    </row>
    <row r="56">
      <c r="A56" s="29">
        <v>45725.0</v>
      </c>
      <c r="B56" s="6" t="s">
        <v>287</v>
      </c>
      <c r="C56" s="4">
        <v>343.73</v>
      </c>
      <c r="D56" s="9" t="s">
        <v>110</v>
      </c>
    </row>
    <row r="57">
      <c r="A57" s="29">
        <v>45725.0</v>
      </c>
      <c r="B57" s="6" t="s">
        <v>288</v>
      </c>
      <c r="C57" s="4">
        <v>19.34</v>
      </c>
      <c r="D57" s="9" t="s">
        <v>147</v>
      </c>
    </row>
    <row r="58">
      <c r="A58" s="29">
        <v>45725.0</v>
      </c>
      <c r="B58" s="6" t="s">
        <v>125</v>
      </c>
      <c r="C58" s="4">
        <v>5.64</v>
      </c>
      <c r="D58" s="9" t="s">
        <v>126</v>
      </c>
    </row>
    <row r="59">
      <c r="A59" s="29">
        <v>45725.0</v>
      </c>
      <c r="B59" s="6" t="s">
        <v>125</v>
      </c>
      <c r="C59" s="4">
        <v>11.29</v>
      </c>
      <c r="D59" s="9" t="s">
        <v>126</v>
      </c>
    </row>
    <row r="60">
      <c r="A60" s="29">
        <v>45725.0</v>
      </c>
      <c r="B60" s="6" t="s">
        <v>289</v>
      </c>
      <c r="C60" s="4">
        <v>16.94</v>
      </c>
      <c r="D60" s="9" t="s">
        <v>126</v>
      </c>
    </row>
    <row r="61">
      <c r="A61" s="28">
        <v>45725.0</v>
      </c>
      <c r="B61" s="6" t="s">
        <v>179</v>
      </c>
      <c r="C61" s="4">
        <v>11.29</v>
      </c>
      <c r="D61" s="9" t="s">
        <v>155</v>
      </c>
    </row>
    <row r="62">
      <c r="A62" s="28">
        <v>45725.0</v>
      </c>
      <c r="B62" s="6" t="s">
        <v>150</v>
      </c>
      <c r="C62" s="4">
        <v>20.0</v>
      </c>
      <c r="D62" s="9" t="s">
        <v>135</v>
      </c>
    </row>
    <row r="63">
      <c r="A63" s="28">
        <v>45725.0</v>
      </c>
      <c r="B63" s="6" t="s">
        <v>150</v>
      </c>
      <c r="C63" s="4">
        <v>20.0</v>
      </c>
      <c r="D63" s="9" t="s">
        <v>135</v>
      </c>
    </row>
    <row r="64">
      <c r="A64" s="28">
        <v>45725.0</v>
      </c>
      <c r="B64" s="6" t="s">
        <v>290</v>
      </c>
      <c r="C64" s="4">
        <v>84.43</v>
      </c>
      <c r="D64" s="9" t="s">
        <v>139</v>
      </c>
    </row>
    <row r="65">
      <c r="A65" s="29">
        <v>45724.0</v>
      </c>
      <c r="B65" s="6" t="s">
        <v>283</v>
      </c>
      <c r="C65" s="4">
        <v>7.34</v>
      </c>
      <c r="D65" s="9" t="s">
        <v>268</v>
      </c>
    </row>
    <row r="66">
      <c r="A66" s="29">
        <v>45724.0</v>
      </c>
      <c r="B66" s="6" t="s">
        <v>283</v>
      </c>
      <c r="C66" s="4">
        <v>15.6</v>
      </c>
      <c r="D66" s="9" t="s">
        <v>268</v>
      </c>
    </row>
    <row r="67">
      <c r="A67" s="29">
        <v>45724.0</v>
      </c>
      <c r="B67" s="6" t="s">
        <v>283</v>
      </c>
      <c r="C67" s="4">
        <v>15.6</v>
      </c>
      <c r="D67" s="9" t="s">
        <v>268</v>
      </c>
    </row>
    <row r="68">
      <c r="A68" s="29">
        <v>45724.0</v>
      </c>
      <c r="B68" s="6" t="s">
        <v>283</v>
      </c>
      <c r="C68" s="4">
        <v>20.34</v>
      </c>
      <c r="D68" s="9" t="s">
        <v>268</v>
      </c>
    </row>
    <row r="69">
      <c r="A69" s="29">
        <v>45724.0</v>
      </c>
      <c r="B69" s="6" t="s">
        <v>283</v>
      </c>
      <c r="C69" s="4">
        <v>29.83</v>
      </c>
      <c r="D69" s="9" t="s">
        <v>268</v>
      </c>
    </row>
    <row r="70">
      <c r="A70" s="29">
        <v>45724.0</v>
      </c>
      <c r="B70" s="6" t="s">
        <v>291</v>
      </c>
      <c r="C70" s="4">
        <v>40.0</v>
      </c>
      <c r="D70" s="9" t="s">
        <v>139</v>
      </c>
    </row>
    <row r="71">
      <c r="A71" s="29">
        <v>45724.0</v>
      </c>
      <c r="B71" s="6" t="s">
        <v>292</v>
      </c>
      <c r="C71" s="4">
        <v>263.43</v>
      </c>
      <c r="D71" s="9" t="s">
        <v>112</v>
      </c>
    </row>
    <row r="72">
      <c r="A72" s="29">
        <v>45724.0</v>
      </c>
      <c r="B72" s="6" t="s">
        <v>206</v>
      </c>
      <c r="C72" s="4">
        <v>8.25</v>
      </c>
      <c r="D72" s="9" t="s">
        <v>164</v>
      </c>
    </row>
    <row r="73">
      <c r="A73" s="28">
        <v>45724.0</v>
      </c>
      <c r="B73" s="6" t="s">
        <v>150</v>
      </c>
      <c r="C73" s="4">
        <v>20.0</v>
      </c>
      <c r="D73" s="9" t="s">
        <v>135</v>
      </c>
    </row>
    <row r="74">
      <c r="A74" s="29">
        <v>45723.0</v>
      </c>
      <c r="B74" s="6" t="s">
        <v>293</v>
      </c>
      <c r="C74" s="4">
        <v>121.66</v>
      </c>
      <c r="D74" s="9" t="s">
        <v>112</v>
      </c>
    </row>
    <row r="75">
      <c r="A75" s="29">
        <v>45723.0</v>
      </c>
      <c r="B75" s="6" t="s">
        <v>294</v>
      </c>
      <c r="C75" s="4">
        <v>150.0</v>
      </c>
      <c r="D75" s="9" t="s">
        <v>141</v>
      </c>
    </row>
    <row r="76">
      <c r="A76" s="29">
        <v>45723.0</v>
      </c>
      <c r="B76" s="6" t="s">
        <v>125</v>
      </c>
      <c r="C76" s="4">
        <v>5.65</v>
      </c>
      <c r="D76" s="9" t="s">
        <v>126</v>
      </c>
    </row>
    <row r="77">
      <c r="A77" s="29">
        <v>45723.0</v>
      </c>
      <c r="B77" s="6" t="s">
        <v>125</v>
      </c>
      <c r="C77" s="4">
        <v>11.29</v>
      </c>
      <c r="D77" s="9" t="s">
        <v>126</v>
      </c>
    </row>
    <row r="78">
      <c r="A78" s="28">
        <v>45723.0</v>
      </c>
      <c r="B78" s="6" t="s">
        <v>295</v>
      </c>
      <c r="C78" s="4">
        <v>96.31</v>
      </c>
      <c r="D78" s="9" t="s">
        <v>121</v>
      </c>
    </row>
    <row r="79">
      <c r="A79" s="28">
        <v>45723.0</v>
      </c>
      <c r="B79" s="6" t="s">
        <v>296</v>
      </c>
      <c r="C79" s="4">
        <v>15.47</v>
      </c>
      <c r="D79" s="9" t="s">
        <v>134</v>
      </c>
    </row>
    <row r="80">
      <c r="A80" s="28">
        <v>45723.0</v>
      </c>
      <c r="B80" s="6" t="s">
        <v>297</v>
      </c>
      <c r="C80" s="4">
        <v>9.02</v>
      </c>
      <c r="D80" s="9" t="s">
        <v>147</v>
      </c>
    </row>
    <row r="81">
      <c r="A81" s="28">
        <v>45723.0</v>
      </c>
      <c r="B81" s="6" t="s">
        <v>298</v>
      </c>
      <c r="C81" s="4">
        <v>51.35</v>
      </c>
      <c r="D81" s="9" t="s">
        <v>116</v>
      </c>
    </row>
    <row r="82">
      <c r="A82" s="28">
        <v>45723.0</v>
      </c>
      <c r="B82" s="6" t="s">
        <v>299</v>
      </c>
      <c r="C82" s="4">
        <v>18.02</v>
      </c>
      <c r="D82" s="9" t="s">
        <v>123</v>
      </c>
    </row>
    <row r="83">
      <c r="A83" s="28">
        <v>45723.0</v>
      </c>
      <c r="B83" s="6" t="s">
        <v>300</v>
      </c>
      <c r="C83" s="4">
        <v>33.65</v>
      </c>
      <c r="D83" s="9" t="s">
        <v>110</v>
      </c>
    </row>
    <row r="84">
      <c r="A84" s="28">
        <v>45723.0</v>
      </c>
      <c r="B84" s="6" t="s">
        <v>301</v>
      </c>
      <c r="C84" s="4">
        <v>184.8</v>
      </c>
      <c r="D84" s="9" t="s">
        <v>135</v>
      </c>
    </row>
    <row r="85">
      <c r="A85" s="28">
        <v>45722.0</v>
      </c>
      <c r="B85" s="6" t="s">
        <v>235</v>
      </c>
      <c r="C85" s="4">
        <v>42.19</v>
      </c>
      <c r="D85" s="9" t="s">
        <v>134</v>
      </c>
    </row>
    <row r="86">
      <c r="A86" s="29">
        <v>45720.0</v>
      </c>
      <c r="B86" s="6" t="s">
        <v>117</v>
      </c>
      <c r="C86" s="4">
        <v>222.95</v>
      </c>
      <c r="D86" s="9" t="s">
        <v>110</v>
      </c>
    </row>
    <row r="87">
      <c r="A87" s="29">
        <v>45720.0</v>
      </c>
      <c r="B87" s="6" t="s">
        <v>189</v>
      </c>
      <c r="C87" s="4">
        <v>289.23</v>
      </c>
      <c r="D87" s="9" t="s">
        <v>121</v>
      </c>
    </row>
    <row r="88">
      <c r="A88" s="29">
        <v>45719.0</v>
      </c>
      <c r="B88" s="6" t="s">
        <v>185</v>
      </c>
      <c r="C88" s="4">
        <v>540.52</v>
      </c>
      <c r="D88" s="9" t="s">
        <v>131</v>
      </c>
    </row>
    <row r="89">
      <c r="A89" s="29">
        <v>45719.0</v>
      </c>
      <c r="B89" s="6" t="s">
        <v>302</v>
      </c>
      <c r="C89" s="4">
        <v>23.98</v>
      </c>
      <c r="D89" s="9" t="s">
        <v>145</v>
      </c>
    </row>
    <row r="90">
      <c r="A90" s="29">
        <v>45719.0</v>
      </c>
      <c r="B90" s="6" t="s">
        <v>303</v>
      </c>
      <c r="C90" s="4">
        <v>22.6</v>
      </c>
      <c r="D90" s="9" t="s">
        <v>145</v>
      </c>
    </row>
    <row r="91">
      <c r="A91" s="29">
        <v>45719.0</v>
      </c>
      <c r="B91" s="6" t="s">
        <v>154</v>
      </c>
      <c r="C91" s="4">
        <v>3.0</v>
      </c>
      <c r="D91" s="9" t="s">
        <v>155</v>
      </c>
    </row>
    <row r="92">
      <c r="A92" s="29">
        <v>45719.0</v>
      </c>
      <c r="B92" s="6" t="s">
        <v>304</v>
      </c>
      <c r="C92" s="4">
        <v>251.5</v>
      </c>
      <c r="D92" s="9" t="s">
        <v>164</v>
      </c>
    </row>
    <row r="93">
      <c r="A93" s="28">
        <v>45719.0</v>
      </c>
      <c r="B93" s="6" t="s">
        <v>305</v>
      </c>
      <c r="C93" s="4">
        <v>6.29</v>
      </c>
      <c r="D93" s="9" t="s">
        <v>134</v>
      </c>
    </row>
    <row r="94">
      <c r="A94" s="28">
        <v>45719.0</v>
      </c>
      <c r="B94" s="6" t="s">
        <v>305</v>
      </c>
      <c r="C94" s="4">
        <v>8.13</v>
      </c>
      <c r="D94" s="9" t="s">
        <v>134</v>
      </c>
    </row>
    <row r="95">
      <c r="A95" s="28">
        <v>45719.0</v>
      </c>
      <c r="B95" s="6" t="s">
        <v>235</v>
      </c>
      <c r="C95" s="4">
        <v>36.52</v>
      </c>
      <c r="D95" s="9" t="s">
        <v>134</v>
      </c>
    </row>
    <row r="96">
      <c r="A96" s="28">
        <v>45719.0</v>
      </c>
      <c r="B96" s="6" t="s">
        <v>306</v>
      </c>
      <c r="C96" s="4">
        <v>20.51</v>
      </c>
      <c r="D96" s="9" t="s">
        <v>155</v>
      </c>
    </row>
    <row r="97">
      <c r="A97" s="29">
        <v>45718.0</v>
      </c>
      <c r="B97" s="6" t="s">
        <v>307</v>
      </c>
      <c r="C97" s="4">
        <v>88.08</v>
      </c>
      <c r="D97" s="9" t="s">
        <v>134</v>
      </c>
    </row>
    <row r="98">
      <c r="A98" s="29">
        <v>45718.0</v>
      </c>
      <c r="B98" s="6" t="s">
        <v>308</v>
      </c>
      <c r="C98" s="4">
        <v>561.53</v>
      </c>
      <c r="D98" s="9" t="s">
        <v>164</v>
      </c>
    </row>
    <row r="99">
      <c r="A99" s="29">
        <v>45718.0</v>
      </c>
      <c r="B99" s="6" t="s">
        <v>309</v>
      </c>
      <c r="C99" s="4">
        <v>7.87</v>
      </c>
      <c r="D99" s="9" t="s">
        <v>134</v>
      </c>
    </row>
    <row r="100">
      <c r="A100" s="29">
        <v>45718.0</v>
      </c>
      <c r="B100" s="6" t="s">
        <v>310</v>
      </c>
      <c r="C100" s="4">
        <v>38.44</v>
      </c>
      <c r="D100" s="9" t="s">
        <v>134</v>
      </c>
    </row>
    <row r="101">
      <c r="A101" s="29">
        <v>45718.0</v>
      </c>
      <c r="B101" s="6" t="s">
        <v>311</v>
      </c>
      <c r="C101" s="4">
        <v>2100.73</v>
      </c>
      <c r="D101" s="9" t="s">
        <v>164</v>
      </c>
    </row>
    <row r="102">
      <c r="A102" s="29">
        <v>45718.0</v>
      </c>
      <c r="B102" s="6" t="s">
        <v>311</v>
      </c>
      <c r="C102" s="4">
        <v>636.11</v>
      </c>
      <c r="D102" s="9" t="s">
        <v>164</v>
      </c>
    </row>
    <row r="103">
      <c r="A103" s="29">
        <v>45718.0</v>
      </c>
      <c r="B103" s="6" t="s">
        <v>312</v>
      </c>
      <c r="C103" s="4">
        <v>33.09</v>
      </c>
      <c r="D103" s="9" t="s">
        <v>164</v>
      </c>
    </row>
    <row r="104">
      <c r="A104" s="28">
        <v>45718.0</v>
      </c>
      <c r="B104" s="6" t="s">
        <v>313</v>
      </c>
      <c r="C104" s="4">
        <v>29.63</v>
      </c>
      <c r="D104" s="9" t="s">
        <v>134</v>
      </c>
    </row>
    <row r="105">
      <c r="A105" s="28">
        <v>45718.0</v>
      </c>
      <c r="B105" s="6" t="s">
        <v>314</v>
      </c>
      <c r="C105" s="4">
        <v>33.88</v>
      </c>
      <c r="D105" s="9" t="s">
        <v>134</v>
      </c>
    </row>
    <row r="106">
      <c r="A106" s="29">
        <v>45717.0</v>
      </c>
      <c r="B106" s="6" t="s">
        <v>195</v>
      </c>
      <c r="C106" s="4">
        <v>-5287.46</v>
      </c>
      <c r="D106" s="9" t="s">
        <v>128</v>
      </c>
    </row>
    <row r="107">
      <c r="A107" s="28">
        <v>45717.0</v>
      </c>
      <c r="B107" s="26" t="s">
        <v>247</v>
      </c>
      <c r="C107" s="4">
        <v>17.77</v>
      </c>
      <c r="D107" s="9" t="s">
        <v>145</v>
      </c>
    </row>
    <row r="108">
      <c r="A108" s="30">
        <v>45736.0</v>
      </c>
      <c r="B108" s="6" t="s">
        <v>298</v>
      </c>
      <c r="C108" s="4">
        <v>85.12</v>
      </c>
      <c r="D108" s="9" t="s">
        <v>116</v>
      </c>
    </row>
    <row r="109">
      <c r="A109" s="30">
        <v>45735.0</v>
      </c>
      <c r="B109" s="6" t="s">
        <v>315</v>
      </c>
      <c r="C109" s="4">
        <v>94.2</v>
      </c>
      <c r="D109" s="9" t="s">
        <v>145</v>
      </c>
    </row>
    <row r="110">
      <c r="A110" s="30">
        <v>45734.0</v>
      </c>
      <c r="B110" s="26" t="s">
        <v>142</v>
      </c>
      <c r="C110" s="4">
        <v>14.68</v>
      </c>
      <c r="D110" s="9" t="s">
        <v>124</v>
      </c>
    </row>
    <row r="111">
      <c r="A111" s="30">
        <v>45734.0</v>
      </c>
      <c r="B111" s="26" t="s">
        <v>142</v>
      </c>
      <c r="C111" s="4">
        <v>45.19</v>
      </c>
      <c r="D111" s="9" t="s">
        <v>124</v>
      </c>
    </row>
    <row r="112">
      <c r="A112" s="30">
        <v>45730.0</v>
      </c>
      <c r="B112" s="6" t="s">
        <v>174</v>
      </c>
      <c r="C112" s="4">
        <v>39.82</v>
      </c>
      <c r="D112" s="9" t="s">
        <v>161</v>
      </c>
    </row>
    <row r="113">
      <c r="A113" s="30">
        <v>45721.0</v>
      </c>
      <c r="B113" s="26" t="s">
        <v>142</v>
      </c>
      <c r="C113" s="4">
        <v>10.16</v>
      </c>
      <c r="D113" s="9" t="s">
        <v>124</v>
      </c>
    </row>
    <row r="114">
      <c r="A114" s="30">
        <v>45720.0</v>
      </c>
      <c r="B114" s="26" t="s">
        <v>142</v>
      </c>
      <c r="C114" s="4">
        <v>3.38</v>
      </c>
      <c r="D114" s="9" t="s">
        <v>124</v>
      </c>
    </row>
  </sheetData>
  <autoFilter ref="$A$1:$Y$900">
    <sortState ref="A1:Y900">
      <sortCondition descending="1" ref="A1:A900"/>
      <sortCondition ref="D1:D900"/>
    </sortState>
  </autoFilter>
  <dataValidations>
    <dataValidation type="list" allowBlank="1" showErrorMessage="1" sqref="D2:D114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SUB,NETFLIX,INSURANCE"</formula1>
    </dataValidation>
  </dataValidations>
  <hyperlinks>
    <hyperlink r:id="rId2" ref="B37"/>
    <hyperlink r:id="rId3" ref="B107"/>
    <hyperlink r:id="rId4" ref="B110"/>
    <hyperlink r:id="rId5" ref="B111"/>
    <hyperlink r:id="rId6" ref="B113"/>
    <hyperlink r:id="rId7" ref="B114"/>
  </hyperlinks>
  <drawing r:id="rId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3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45741.0</v>
      </c>
      <c r="B2" s="6" t="s">
        <v>172</v>
      </c>
      <c r="C2" s="4">
        <v>503.99</v>
      </c>
      <c r="D2" s="9" t="s">
        <v>147</v>
      </c>
    </row>
    <row r="3">
      <c r="A3" s="24">
        <v>45742.0</v>
      </c>
      <c r="B3" s="6" t="s">
        <v>316</v>
      </c>
      <c r="C3" s="4">
        <v>228.23</v>
      </c>
      <c r="D3" s="9" t="s">
        <v>147</v>
      </c>
    </row>
    <row r="4">
      <c r="A4" s="24">
        <v>45742.0</v>
      </c>
      <c r="B4" s="6" t="s">
        <v>194</v>
      </c>
      <c r="C4" s="4">
        <v>36.11</v>
      </c>
      <c r="D4" s="9" t="s">
        <v>158</v>
      </c>
    </row>
    <row r="5">
      <c r="A5" s="24">
        <v>45743.0</v>
      </c>
      <c r="B5" s="6" t="s">
        <v>185</v>
      </c>
      <c r="C5" s="4">
        <v>28.97</v>
      </c>
      <c r="D5" s="9" t="s">
        <v>131</v>
      </c>
    </row>
    <row r="6">
      <c r="A6" s="24">
        <v>45743.0</v>
      </c>
      <c r="B6" s="6" t="s">
        <v>125</v>
      </c>
      <c r="C6" s="4">
        <v>16.94</v>
      </c>
      <c r="D6" s="9" t="s">
        <v>126</v>
      </c>
    </row>
    <row r="7">
      <c r="A7" s="28">
        <v>45743.0</v>
      </c>
      <c r="B7" s="6" t="s">
        <v>235</v>
      </c>
      <c r="C7" s="4">
        <v>46.46</v>
      </c>
      <c r="D7" s="9" t="s">
        <v>134</v>
      </c>
    </row>
    <row r="8">
      <c r="A8" s="28">
        <v>45743.0</v>
      </c>
      <c r="B8" s="6" t="s">
        <v>207</v>
      </c>
      <c r="C8" s="4">
        <v>14.68</v>
      </c>
      <c r="D8" s="9" t="s">
        <v>166</v>
      </c>
    </row>
    <row r="9">
      <c r="A9" s="24">
        <v>45744.0</v>
      </c>
      <c r="B9" s="6" t="s">
        <v>267</v>
      </c>
      <c r="C9" s="4">
        <v>36.9</v>
      </c>
      <c r="D9" s="9" t="s">
        <v>268</v>
      </c>
    </row>
    <row r="10">
      <c r="A10" s="24">
        <v>45744.0</v>
      </c>
      <c r="B10" s="6" t="s">
        <v>318</v>
      </c>
      <c r="C10" s="4">
        <v>391.88</v>
      </c>
      <c r="D10" s="9" t="s">
        <v>147</v>
      </c>
    </row>
    <row r="11">
      <c r="A11" s="24">
        <v>45744.0</v>
      </c>
      <c r="B11" s="6" t="s">
        <v>269</v>
      </c>
      <c r="C11" s="4">
        <v>-20.0</v>
      </c>
      <c r="D11" s="9" t="s">
        <v>128</v>
      </c>
    </row>
    <row r="12">
      <c r="A12" s="28">
        <v>45744.0</v>
      </c>
      <c r="B12" s="6" t="s">
        <v>319</v>
      </c>
      <c r="C12" s="4">
        <v>7.13</v>
      </c>
      <c r="D12" s="9" t="s">
        <v>135</v>
      </c>
    </row>
    <row r="13">
      <c r="A13" s="28">
        <v>45744.0</v>
      </c>
      <c r="B13" s="26" t="s">
        <v>247</v>
      </c>
      <c r="C13" s="4">
        <v>17.63</v>
      </c>
      <c r="D13" s="9" t="s">
        <v>145</v>
      </c>
    </row>
    <row r="14">
      <c r="A14" s="28">
        <v>45744.0</v>
      </c>
      <c r="B14" s="6" t="s">
        <v>177</v>
      </c>
      <c r="C14" s="4">
        <v>76.62</v>
      </c>
      <c r="D14" s="9" t="s">
        <v>123</v>
      </c>
    </row>
    <row r="15">
      <c r="A15" s="28">
        <v>45744.0</v>
      </c>
      <c r="B15" s="6" t="s">
        <v>320</v>
      </c>
      <c r="C15" s="4">
        <v>19.0</v>
      </c>
      <c r="D15" s="9" t="s">
        <v>129</v>
      </c>
    </row>
    <row r="16">
      <c r="A16" s="24">
        <v>45745.0</v>
      </c>
      <c r="B16" s="6" t="s">
        <v>321</v>
      </c>
      <c r="C16" s="4">
        <v>48.0</v>
      </c>
      <c r="D16" s="9" t="s">
        <v>110</v>
      </c>
    </row>
    <row r="17">
      <c r="A17" s="24">
        <v>45745.0</v>
      </c>
      <c r="B17" s="6" t="s">
        <v>322</v>
      </c>
      <c r="C17" s="4">
        <v>29.0</v>
      </c>
      <c r="D17" s="9" t="s">
        <v>110</v>
      </c>
    </row>
    <row r="18">
      <c r="A18" s="24">
        <v>45745.0</v>
      </c>
      <c r="B18" s="6" t="s">
        <v>195</v>
      </c>
      <c r="C18" s="4">
        <v>-9975.36</v>
      </c>
      <c r="D18" s="9" t="s">
        <v>128</v>
      </c>
    </row>
    <row r="19">
      <c r="A19" s="24">
        <v>45745.0</v>
      </c>
      <c r="B19" s="6" t="s">
        <v>323</v>
      </c>
      <c r="C19" s="4">
        <v>18.84</v>
      </c>
      <c r="D19" s="9" t="s">
        <v>134</v>
      </c>
    </row>
    <row r="20">
      <c r="A20" s="24">
        <v>45745.0</v>
      </c>
      <c r="B20" s="6" t="s">
        <v>324</v>
      </c>
      <c r="C20" s="4">
        <v>60.49</v>
      </c>
      <c r="D20" s="9" t="s">
        <v>134</v>
      </c>
    </row>
    <row r="21">
      <c r="A21" s="24">
        <v>45745.0</v>
      </c>
      <c r="B21" s="6" t="s">
        <v>325</v>
      </c>
      <c r="C21" s="4">
        <v>10.53</v>
      </c>
      <c r="D21" s="9" t="s">
        <v>164</v>
      </c>
    </row>
    <row r="22">
      <c r="A22" s="28">
        <v>45745.0</v>
      </c>
      <c r="B22" s="6" t="s">
        <v>327</v>
      </c>
      <c r="C22" s="4">
        <v>18.01</v>
      </c>
      <c r="D22" s="9" t="s">
        <v>139</v>
      </c>
    </row>
    <row r="23">
      <c r="A23" s="28">
        <v>45745.0</v>
      </c>
      <c r="B23" s="6" t="s">
        <v>328</v>
      </c>
      <c r="C23" s="4">
        <v>10.0</v>
      </c>
      <c r="D23" s="9" t="s">
        <v>110</v>
      </c>
    </row>
    <row r="24">
      <c r="A24" s="28">
        <v>45745.0</v>
      </c>
      <c r="B24" s="6" t="s">
        <v>329</v>
      </c>
      <c r="C24" s="4">
        <v>16.95</v>
      </c>
      <c r="D24" s="9" t="s">
        <v>123</v>
      </c>
    </row>
    <row r="25">
      <c r="A25" s="28">
        <v>45745.0</v>
      </c>
      <c r="B25" s="6" t="s">
        <v>330</v>
      </c>
      <c r="C25" s="4">
        <v>4.52</v>
      </c>
      <c r="D25" s="9" t="s">
        <v>123</v>
      </c>
    </row>
    <row r="26">
      <c r="A26" s="28">
        <v>45745.0</v>
      </c>
      <c r="B26" s="6" t="s">
        <v>331</v>
      </c>
      <c r="C26" s="4">
        <v>8.76</v>
      </c>
      <c r="D26" s="9" t="s">
        <v>110</v>
      </c>
    </row>
    <row r="27">
      <c r="A27" s="28">
        <v>45745.0</v>
      </c>
      <c r="B27" s="6" t="s">
        <v>332</v>
      </c>
      <c r="C27" s="4">
        <v>20.34</v>
      </c>
      <c r="D27" s="9" t="s">
        <v>110</v>
      </c>
    </row>
    <row r="28">
      <c r="A28" s="28">
        <v>45745.0</v>
      </c>
      <c r="B28" s="6" t="s">
        <v>333</v>
      </c>
      <c r="C28" s="4">
        <v>33.9</v>
      </c>
      <c r="D28" s="9" t="s">
        <v>145</v>
      </c>
    </row>
    <row r="29">
      <c r="A29" s="28">
        <v>45745.0</v>
      </c>
      <c r="B29" s="6" t="s">
        <v>334</v>
      </c>
      <c r="C29" s="4">
        <v>20.0</v>
      </c>
      <c r="D29" s="9" t="s">
        <v>145</v>
      </c>
    </row>
    <row r="30">
      <c r="A30" s="28">
        <v>45745.0</v>
      </c>
      <c r="B30" s="6" t="s">
        <v>150</v>
      </c>
      <c r="C30" s="4">
        <v>10.0</v>
      </c>
      <c r="D30" s="9" t="s">
        <v>135</v>
      </c>
    </row>
    <row r="31">
      <c r="A31" s="24">
        <v>45746.0</v>
      </c>
      <c r="B31" s="6" t="s">
        <v>251</v>
      </c>
      <c r="C31" s="4">
        <v>153.15</v>
      </c>
      <c r="D31" s="9" t="s">
        <v>228</v>
      </c>
    </row>
    <row r="32">
      <c r="A32" s="24">
        <v>45746.0</v>
      </c>
      <c r="B32" s="6" t="s">
        <v>251</v>
      </c>
      <c r="C32" s="4">
        <v>211.95</v>
      </c>
      <c r="D32" s="9" t="s">
        <v>228</v>
      </c>
    </row>
    <row r="33">
      <c r="A33" s="24">
        <v>45746.0</v>
      </c>
      <c r="B33" s="6" t="s">
        <v>335</v>
      </c>
      <c r="C33" s="4">
        <v>67.8</v>
      </c>
      <c r="D33" s="9" t="s">
        <v>145</v>
      </c>
    </row>
    <row r="34">
      <c r="A34" s="24">
        <v>45746.0</v>
      </c>
      <c r="B34" s="6" t="s">
        <v>185</v>
      </c>
      <c r="C34" s="4">
        <v>196.19</v>
      </c>
      <c r="D34" s="9" t="s">
        <v>131</v>
      </c>
    </row>
    <row r="35">
      <c r="A35" s="24">
        <v>45746.0</v>
      </c>
      <c r="B35" s="6" t="s">
        <v>125</v>
      </c>
      <c r="C35" s="4">
        <v>24.85</v>
      </c>
      <c r="D35" s="9" t="s">
        <v>126</v>
      </c>
    </row>
    <row r="36">
      <c r="A36" s="28">
        <v>45746.0</v>
      </c>
      <c r="B36" s="6" t="s">
        <v>336</v>
      </c>
      <c r="C36" s="4">
        <v>90.94</v>
      </c>
      <c r="D36" s="9" t="s">
        <v>147</v>
      </c>
    </row>
    <row r="37">
      <c r="A37" s="24">
        <v>45747.0</v>
      </c>
      <c r="B37" s="6" t="s">
        <v>337</v>
      </c>
      <c r="C37" s="4">
        <v>82.04</v>
      </c>
      <c r="D37" s="9" t="s">
        <v>139</v>
      </c>
    </row>
    <row r="38">
      <c r="A38" s="24">
        <v>45747.0</v>
      </c>
      <c r="B38" s="6" t="s">
        <v>185</v>
      </c>
      <c r="C38" s="4">
        <v>40.56</v>
      </c>
      <c r="D38" s="9" t="s">
        <v>131</v>
      </c>
    </row>
    <row r="39">
      <c r="A39" s="24">
        <v>45747.0</v>
      </c>
      <c r="B39" s="6" t="s">
        <v>338</v>
      </c>
      <c r="C39" s="4">
        <v>14.45</v>
      </c>
      <c r="D39" s="9" t="s">
        <v>134</v>
      </c>
    </row>
    <row r="40">
      <c r="A40" s="28">
        <v>45747.0</v>
      </c>
      <c r="B40" s="6" t="s">
        <v>197</v>
      </c>
      <c r="C40" s="4">
        <v>60.42</v>
      </c>
      <c r="D40" s="9" t="s">
        <v>149</v>
      </c>
    </row>
    <row r="41">
      <c r="A41" s="29">
        <v>45748.0</v>
      </c>
      <c r="B41" s="6" t="s">
        <v>339</v>
      </c>
      <c r="C41" s="4">
        <v>26.86</v>
      </c>
      <c r="D41" s="9" t="s">
        <v>135</v>
      </c>
    </row>
    <row r="42">
      <c r="A42" s="29">
        <v>45748.0</v>
      </c>
      <c r="B42" s="6" t="s">
        <v>318</v>
      </c>
      <c r="C42" s="4">
        <v>228.18</v>
      </c>
      <c r="D42" s="9" t="s">
        <v>147</v>
      </c>
    </row>
    <row r="43">
      <c r="A43" s="29">
        <v>45748.0</v>
      </c>
      <c r="B43" s="6" t="s">
        <v>185</v>
      </c>
      <c r="C43" s="4">
        <v>36.87</v>
      </c>
      <c r="D43" s="9" t="s">
        <v>131</v>
      </c>
    </row>
    <row r="44">
      <c r="A44" s="28">
        <v>45748.0</v>
      </c>
      <c r="B44" s="6" t="s">
        <v>191</v>
      </c>
      <c r="C44" s="4">
        <v>8.86</v>
      </c>
      <c r="D44" s="9" t="s">
        <v>149</v>
      </c>
    </row>
    <row r="45">
      <c r="A45" s="28">
        <v>45748.0</v>
      </c>
      <c r="B45" s="6" t="s">
        <v>340</v>
      </c>
      <c r="C45" s="4">
        <v>48.48</v>
      </c>
      <c r="D45" s="9" t="s">
        <v>134</v>
      </c>
    </row>
    <row r="46">
      <c r="A46" s="29">
        <v>45749.0</v>
      </c>
      <c r="B46" s="6" t="s">
        <v>117</v>
      </c>
      <c r="C46" s="4">
        <v>186.52</v>
      </c>
      <c r="D46" s="9" t="s">
        <v>110</v>
      </c>
    </row>
    <row r="47">
      <c r="A47" s="29">
        <v>45749.0</v>
      </c>
      <c r="B47" s="6" t="s">
        <v>341</v>
      </c>
      <c r="C47" s="4">
        <v>73.44</v>
      </c>
      <c r="D47" s="9" t="s">
        <v>123</v>
      </c>
    </row>
    <row r="48">
      <c r="A48" s="29">
        <v>45749.0</v>
      </c>
      <c r="B48" s="6" t="s">
        <v>185</v>
      </c>
      <c r="C48" s="4">
        <v>28.97</v>
      </c>
      <c r="D48" s="9" t="s">
        <v>131</v>
      </c>
    </row>
    <row r="49">
      <c r="A49" s="29">
        <v>45750.0</v>
      </c>
      <c r="B49" s="6" t="s">
        <v>342</v>
      </c>
      <c r="C49" s="4">
        <v>525.79</v>
      </c>
      <c r="D49" s="9" t="s">
        <v>141</v>
      </c>
    </row>
    <row r="50">
      <c r="A50" s="29">
        <v>45750.0</v>
      </c>
      <c r="B50" s="6" t="s">
        <v>185</v>
      </c>
      <c r="C50" s="4">
        <v>36.87</v>
      </c>
      <c r="D50" s="9" t="s">
        <v>131</v>
      </c>
    </row>
    <row r="51">
      <c r="A51" s="29">
        <v>45751.0</v>
      </c>
      <c r="B51" s="6" t="s">
        <v>343</v>
      </c>
      <c r="C51" s="4">
        <v>15.45</v>
      </c>
      <c r="D51" s="9" t="s">
        <v>268</v>
      </c>
    </row>
    <row r="52">
      <c r="A52" s="29">
        <v>45751.0</v>
      </c>
      <c r="B52" s="6" t="s">
        <v>270</v>
      </c>
      <c r="C52" s="4">
        <v>-150.0</v>
      </c>
      <c r="D52" s="9" t="s">
        <v>128</v>
      </c>
    </row>
    <row r="53">
      <c r="A53" s="29">
        <v>45751.0</v>
      </c>
      <c r="B53" s="6" t="s">
        <v>185</v>
      </c>
      <c r="C53" s="4">
        <v>36.87</v>
      </c>
      <c r="D53" s="9" t="s">
        <v>131</v>
      </c>
    </row>
    <row r="54">
      <c r="A54" s="29">
        <v>45752.0</v>
      </c>
      <c r="B54" s="6" t="s">
        <v>344</v>
      </c>
      <c r="C54" s="4">
        <v>1462.57</v>
      </c>
      <c r="D54" s="9" t="s">
        <v>164</v>
      </c>
    </row>
    <row r="55">
      <c r="A55" s="29">
        <v>45752.0</v>
      </c>
      <c r="B55" s="6" t="s">
        <v>345</v>
      </c>
      <c r="C55" s="4">
        <v>20.07</v>
      </c>
      <c r="D55" s="9" t="s">
        <v>110</v>
      </c>
    </row>
    <row r="56">
      <c r="A56" s="28">
        <v>45752.0</v>
      </c>
      <c r="B56" s="6" t="s">
        <v>235</v>
      </c>
      <c r="C56" s="4">
        <v>63.71</v>
      </c>
      <c r="D56" s="9" t="s">
        <v>134</v>
      </c>
    </row>
    <row r="57">
      <c r="A57" s="28">
        <v>45752.0</v>
      </c>
      <c r="B57" s="6" t="s">
        <v>235</v>
      </c>
      <c r="C57" s="4">
        <v>35.39</v>
      </c>
      <c r="D57" s="9" t="s">
        <v>134</v>
      </c>
    </row>
    <row r="58">
      <c r="A58" s="28">
        <v>45752.0</v>
      </c>
      <c r="B58" s="6" t="s">
        <v>150</v>
      </c>
      <c r="C58" s="4">
        <v>20.0</v>
      </c>
      <c r="D58" s="9" t="s">
        <v>135</v>
      </c>
    </row>
    <row r="59">
      <c r="A59" s="29">
        <v>45753.0</v>
      </c>
      <c r="B59" s="6" t="s">
        <v>346</v>
      </c>
      <c r="C59" s="4">
        <v>40.96</v>
      </c>
      <c r="D59" s="9" t="s">
        <v>137</v>
      </c>
    </row>
    <row r="60">
      <c r="A60" s="29">
        <v>45753.0</v>
      </c>
      <c r="B60" s="6" t="s">
        <v>347</v>
      </c>
      <c r="C60" s="4">
        <v>39.82</v>
      </c>
      <c r="D60" s="9" t="s">
        <v>110</v>
      </c>
    </row>
    <row r="61">
      <c r="A61" s="29">
        <v>45754.0</v>
      </c>
      <c r="B61" s="6" t="s">
        <v>189</v>
      </c>
      <c r="C61" s="4">
        <v>167.22</v>
      </c>
      <c r="D61" s="9" t="s">
        <v>121</v>
      </c>
    </row>
    <row r="62">
      <c r="A62" s="29">
        <v>45754.0</v>
      </c>
      <c r="B62" s="6" t="s">
        <v>125</v>
      </c>
      <c r="C62" s="4">
        <v>5.65</v>
      </c>
      <c r="D62" s="9" t="s">
        <v>126</v>
      </c>
    </row>
    <row r="63">
      <c r="A63" s="29">
        <v>45754.0</v>
      </c>
      <c r="B63" s="6" t="s">
        <v>125</v>
      </c>
      <c r="C63" s="4">
        <v>11.29</v>
      </c>
      <c r="D63" s="9" t="s">
        <v>126</v>
      </c>
    </row>
    <row r="64">
      <c r="A64" s="29">
        <v>45754.0</v>
      </c>
      <c r="B64" s="6" t="s">
        <v>348</v>
      </c>
      <c r="C64" s="4">
        <v>84.34</v>
      </c>
      <c r="D64" s="9" t="s">
        <v>164</v>
      </c>
    </row>
    <row r="65">
      <c r="A65" s="29">
        <v>45756.0</v>
      </c>
      <c r="B65" s="6" t="s">
        <v>349</v>
      </c>
      <c r="C65" s="4">
        <v>36.44</v>
      </c>
      <c r="D65" s="9" t="s">
        <v>139</v>
      </c>
    </row>
    <row r="66">
      <c r="A66" s="29">
        <v>45756.0</v>
      </c>
      <c r="B66" s="6" t="s">
        <v>125</v>
      </c>
      <c r="C66" s="4">
        <v>5.64</v>
      </c>
      <c r="D66" s="9" t="s">
        <v>126</v>
      </c>
    </row>
    <row r="67">
      <c r="A67" s="29">
        <v>45756.0</v>
      </c>
      <c r="B67" s="6" t="s">
        <v>125</v>
      </c>
      <c r="C67" s="4">
        <v>11.29</v>
      </c>
      <c r="D67" s="9" t="s">
        <v>126</v>
      </c>
    </row>
    <row r="68">
      <c r="A68" s="28">
        <v>45756.0</v>
      </c>
      <c r="B68" s="6" t="s">
        <v>128</v>
      </c>
      <c r="C68" s="4">
        <v>-2218.84</v>
      </c>
      <c r="D68" s="9" t="s">
        <v>128</v>
      </c>
    </row>
    <row r="69">
      <c r="A69" s="28">
        <v>45756.0</v>
      </c>
      <c r="B69" s="6" t="s">
        <v>350</v>
      </c>
      <c r="C69" s="4">
        <v>11.29</v>
      </c>
      <c r="D69" s="9" t="s">
        <v>155</v>
      </c>
    </row>
    <row r="70">
      <c r="A70" s="28">
        <v>45756.0</v>
      </c>
      <c r="B70" s="6" t="s">
        <v>351</v>
      </c>
      <c r="C70" s="4">
        <v>24.83</v>
      </c>
      <c r="D70" s="9" t="s">
        <v>147</v>
      </c>
    </row>
    <row r="71">
      <c r="A71" s="24">
        <v>45757.0</v>
      </c>
      <c r="B71" s="6" t="s">
        <v>352</v>
      </c>
      <c r="C71" s="4">
        <v>169.04</v>
      </c>
      <c r="D71" s="9" t="s">
        <v>220</v>
      </c>
    </row>
    <row r="72">
      <c r="A72" s="24">
        <v>45757.0</v>
      </c>
      <c r="B72" s="6" t="s">
        <v>178</v>
      </c>
      <c r="C72" s="4">
        <v>4.51</v>
      </c>
      <c r="D72" s="9" t="s">
        <v>124</v>
      </c>
    </row>
    <row r="73">
      <c r="A73" s="24">
        <v>45757.0</v>
      </c>
      <c r="B73" s="6" t="s">
        <v>178</v>
      </c>
      <c r="C73" s="4">
        <v>4.51</v>
      </c>
      <c r="D73" s="9" t="s">
        <v>124</v>
      </c>
    </row>
    <row r="74">
      <c r="A74" s="28">
        <v>45757.0</v>
      </c>
      <c r="B74" s="6" t="s">
        <v>353</v>
      </c>
      <c r="C74" s="4">
        <v>64.95</v>
      </c>
      <c r="D74" s="9" t="s">
        <v>110</v>
      </c>
    </row>
    <row r="75">
      <c r="A75" s="28">
        <v>45757.0</v>
      </c>
      <c r="B75" s="6" t="s">
        <v>286</v>
      </c>
      <c r="C75" s="4">
        <v>33.07</v>
      </c>
      <c r="D75" s="9" t="s">
        <v>145</v>
      </c>
    </row>
    <row r="76">
      <c r="A76" s="24">
        <v>45758.0</v>
      </c>
      <c r="B76" s="6" t="s">
        <v>354</v>
      </c>
      <c r="C76" s="4">
        <v>141.25</v>
      </c>
      <c r="D76" s="9" t="s">
        <v>220</v>
      </c>
    </row>
    <row r="77">
      <c r="A77" s="24">
        <v>45758.0</v>
      </c>
      <c r="B77" s="6" t="s">
        <v>117</v>
      </c>
      <c r="C77" s="4">
        <v>123.1</v>
      </c>
      <c r="D77" s="9" t="s">
        <v>110</v>
      </c>
    </row>
    <row r="78">
      <c r="A78" s="24">
        <v>45758.0</v>
      </c>
      <c r="B78" s="6" t="s">
        <v>355</v>
      </c>
      <c r="C78" s="4">
        <v>14.68</v>
      </c>
      <c r="D78" s="9" t="s">
        <v>123</v>
      </c>
    </row>
    <row r="79">
      <c r="A79" s="24">
        <v>45758.0</v>
      </c>
      <c r="B79" s="6" t="s">
        <v>189</v>
      </c>
      <c r="C79" s="4">
        <v>81.54</v>
      </c>
      <c r="D79" s="9" t="s">
        <v>121</v>
      </c>
    </row>
    <row r="80">
      <c r="A80" s="24">
        <v>45758.0</v>
      </c>
      <c r="B80" s="6" t="s">
        <v>356</v>
      </c>
      <c r="C80" s="4">
        <v>101.08</v>
      </c>
      <c r="D80" s="9" t="s">
        <v>147</v>
      </c>
    </row>
    <row r="81">
      <c r="A81" s="24">
        <v>45760.0</v>
      </c>
      <c r="B81" s="6" t="s">
        <v>357</v>
      </c>
      <c r="C81" s="4">
        <v>43.65</v>
      </c>
      <c r="D81" s="9" t="s">
        <v>137</v>
      </c>
    </row>
    <row r="82">
      <c r="A82" s="24">
        <v>45760.0</v>
      </c>
      <c r="B82" s="6" t="s">
        <v>358</v>
      </c>
      <c r="C82" s="4">
        <v>89.19</v>
      </c>
      <c r="D82" s="9" t="s">
        <v>147</v>
      </c>
    </row>
    <row r="83">
      <c r="A83" s="24">
        <v>45760.0</v>
      </c>
      <c r="B83" s="6" t="s">
        <v>175</v>
      </c>
      <c r="C83" s="4">
        <v>11.29</v>
      </c>
      <c r="D83" s="9" t="s">
        <v>126</v>
      </c>
    </row>
    <row r="84">
      <c r="A84" s="24">
        <v>45760.0</v>
      </c>
      <c r="B84" s="6" t="s">
        <v>359</v>
      </c>
      <c r="C84" s="4">
        <v>56.77</v>
      </c>
      <c r="D84" s="9" t="s">
        <v>134</v>
      </c>
    </row>
    <row r="85">
      <c r="A85" s="28">
        <v>45760.0</v>
      </c>
      <c r="B85" s="6" t="s">
        <v>360</v>
      </c>
      <c r="C85" s="4">
        <v>10.12</v>
      </c>
      <c r="D85" s="9" t="s">
        <v>110</v>
      </c>
    </row>
    <row r="86">
      <c r="A86" s="24">
        <v>45761.0</v>
      </c>
      <c r="B86" s="6" t="s">
        <v>148</v>
      </c>
      <c r="C86" s="4">
        <v>137.4</v>
      </c>
      <c r="D86" s="9" t="s">
        <v>135</v>
      </c>
    </row>
    <row r="87">
      <c r="A87" s="28">
        <v>45761.0</v>
      </c>
      <c r="B87" s="6" t="s">
        <v>173</v>
      </c>
      <c r="C87" s="4">
        <v>11.29</v>
      </c>
      <c r="D87" s="9" t="s">
        <v>126</v>
      </c>
    </row>
    <row r="88">
      <c r="A88" s="24">
        <v>45762.0</v>
      </c>
      <c r="B88" s="6" t="s">
        <v>361</v>
      </c>
      <c r="C88" s="4">
        <v>282.44</v>
      </c>
      <c r="D88" s="9" t="s">
        <v>145</v>
      </c>
    </row>
    <row r="89">
      <c r="A89" s="24">
        <v>45762.0</v>
      </c>
      <c r="B89" s="6" t="s">
        <v>362</v>
      </c>
      <c r="C89" s="4">
        <v>84.69</v>
      </c>
      <c r="D89" s="9" t="s">
        <v>220</v>
      </c>
    </row>
    <row r="90">
      <c r="A90" s="24">
        <v>45762.0</v>
      </c>
      <c r="B90" s="6" t="s">
        <v>363</v>
      </c>
      <c r="C90" s="4">
        <v>112.94</v>
      </c>
      <c r="D90" s="9" t="s">
        <v>147</v>
      </c>
    </row>
    <row r="91">
      <c r="A91" s="24">
        <v>45762.0</v>
      </c>
      <c r="B91" s="6" t="s">
        <v>364</v>
      </c>
      <c r="C91" s="4">
        <v>108.13</v>
      </c>
      <c r="D91" s="9" t="s">
        <v>112</v>
      </c>
    </row>
    <row r="92">
      <c r="A92" s="24">
        <v>45762.0</v>
      </c>
      <c r="B92" s="6" t="s">
        <v>189</v>
      </c>
      <c r="C92" s="4">
        <v>366.04</v>
      </c>
      <c r="D92" s="9" t="s">
        <v>121</v>
      </c>
    </row>
    <row r="93">
      <c r="A93" s="24">
        <v>45762.0</v>
      </c>
      <c r="B93" s="6" t="s">
        <v>365</v>
      </c>
      <c r="C93" s="4">
        <v>42.37</v>
      </c>
      <c r="D93" s="9" t="s">
        <v>147</v>
      </c>
    </row>
    <row r="94">
      <c r="A94" s="24">
        <v>45762.0</v>
      </c>
      <c r="B94" s="6" t="s">
        <v>125</v>
      </c>
      <c r="C94" s="4">
        <v>4.51</v>
      </c>
      <c r="D94" s="9" t="s">
        <v>126</v>
      </c>
    </row>
    <row r="95">
      <c r="A95" s="28">
        <v>45763.0</v>
      </c>
      <c r="B95" s="6" t="s">
        <v>366</v>
      </c>
      <c r="C95" s="4">
        <v>1.49</v>
      </c>
      <c r="D95" s="9" t="s">
        <v>145</v>
      </c>
    </row>
    <row r="96">
      <c r="A96" s="28">
        <v>45763.0</v>
      </c>
      <c r="B96" s="26" t="s">
        <v>280</v>
      </c>
      <c r="C96" s="4">
        <v>27.11</v>
      </c>
      <c r="D96" s="9" t="s">
        <v>158</v>
      </c>
    </row>
    <row r="97">
      <c r="A97" s="24">
        <v>45765.0</v>
      </c>
      <c r="B97" s="6" t="s">
        <v>367</v>
      </c>
      <c r="C97" s="4">
        <v>31.08</v>
      </c>
      <c r="D97" s="9" t="s">
        <v>110</v>
      </c>
    </row>
    <row r="98">
      <c r="A98" s="24">
        <v>45765.0</v>
      </c>
      <c r="B98" s="6" t="s">
        <v>269</v>
      </c>
      <c r="C98" s="4">
        <v>216.44</v>
      </c>
      <c r="D98" s="9" t="s">
        <v>110</v>
      </c>
    </row>
    <row r="99">
      <c r="A99" s="24">
        <v>45765.0</v>
      </c>
      <c r="B99" s="6" t="s">
        <v>160</v>
      </c>
      <c r="C99" s="4">
        <v>141.32</v>
      </c>
      <c r="D99" s="9" t="s">
        <v>153</v>
      </c>
    </row>
    <row r="100">
      <c r="A100" s="24">
        <v>45765.0</v>
      </c>
      <c r="B100" s="6" t="s">
        <v>368</v>
      </c>
      <c r="C100" s="4">
        <v>284.41</v>
      </c>
      <c r="D100" s="9" t="s">
        <v>164</v>
      </c>
    </row>
    <row r="101">
      <c r="A101" s="24">
        <v>45766.0</v>
      </c>
      <c r="B101" s="6" t="s">
        <v>178</v>
      </c>
      <c r="C101" s="4">
        <v>28.24</v>
      </c>
      <c r="D101" s="9" t="s">
        <v>124</v>
      </c>
    </row>
    <row r="102">
      <c r="A102" s="24">
        <v>45766.0</v>
      </c>
      <c r="B102" s="6" t="s">
        <v>151</v>
      </c>
      <c r="C102" s="4">
        <v>45.2</v>
      </c>
      <c r="D102" s="9" t="s">
        <v>152</v>
      </c>
    </row>
    <row r="103">
      <c r="A103" s="28">
        <v>45766.0</v>
      </c>
      <c r="B103" s="6" t="s">
        <v>296</v>
      </c>
      <c r="C103" s="4">
        <v>11.06</v>
      </c>
      <c r="D103" s="9" t="s">
        <v>134</v>
      </c>
    </row>
    <row r="104">
      <c r="A104" s="28">
        <v>45766.0</v>
      </c>
      <c r="B104" s="6" t="s">
        <v>225</v>
      </c>
      <c r="C104" s="4">
        <v>34.93</v>
      </c>
      <c r="D104" s="9" t="s">
        <v>110</v>
      </c>
    </row>
    <row r="105">
      <c r="A105" s="28">
        <v>45766.0</v>
      </c>
      <c r="B105" s="6" t="s">
        <v>150</v>
      </c>
      <c r="C105" s="4">
        <v>30.0</v>
      </c>
      <c r="D105" s="9" t="s">
        <v>135</v>
      </c>
    </row>
    <row r="106">
      <c r="A106" s="28">
        <v>45766.0</v>
      </c>
      <c r="B106" s="6" t="s">
        <v>369</v>
      </c>
      <c r="C106" s="4">
        <v>18.89</v>
      </c>
      <c r="D106" s="9" t="s">
        <v>134</v>
      </c>
    </row>
    <row r="107">
      <c r="A107" s="28">
        <v>45767.0</v>
      </c>
      <c r="B107" s="6" t="s">
        <v>150</v>
      </c>
      <c r="C107" s="4">
        <v>15.0</v>
      </c>
      <c r="D107" s="9" t="s">
        <v>135</v>
      </c>
    </row>
    <row r="108">
      <c r="A108" s="24">
        <v>45768.0</v>
      </c>
      <c r="B108" s="6" t="s">
        <v>117</v>
      </c>
      <c r="C108" s="4">
        <v>37.89</v>
      </c>
      <c r="D108" s="9" t="s">
        <v>110</v>
      </c>
    </row>
    <row r="109">
      <c r="A109" s="24">
        <v>45768.0</v>
      </c>
      <c r="B109" s="6" t="s">
        <v>318</v>
      </c>
      <c r="C109" s="4">
        <v>304.93</v>
      </c>
      <c r="D109" s="9" t="s">
        <v>147</v>
      </c>
    </row>
    <row r="110">
      <c r="A110" s="24">
        <v>45768.0</v>
      </c>
      <c r="B110" s="6" t="s">
        <v>370</v>
      </c>
      <c r="C110" s="4">
        <v>36.6</v>
      </c>
      <c r="D110" s="9" t="s">
        <v>147</v>
      </c>
    </row>
    <row r="111">
      <c r="A111" s="24">
        <v>45768.0</v>
      </c>
      <c r="B111" s="6" t="s">
        <v>371</v>
      </c>
      <c r="C111" s="4">
        <v>47.45</v>
      </c>
      <c r="D111" s="9" t="s">
        <v>134</v>
      </c>
    </row>
    <row r="112">
      <c r="A112" s="28">
        <v>45768.0</v>
      </c>
      <c r="B112" s="6" t="s">
        <v>235</v>
      </c>
      <c r="C112" s="4">
        <v>65.69</v>
      </c>
      <c r="D112" s="9" t="s">
        <v>134</v>
      </c>
    </row>
    <row r="113">
      <c r="A113" s="24">
        <v>45769.0</v>
      </c>
      <c r="B113" s="6" t="s">
        <v>372</v>
      </c>
      <c r="C113" s="4">
        <v>1790.61</v>
      </c>
      <c r="D113" s="9" t="s">
        <v>317</v>
      </c>
    </row>
    <row r="114">
      <c r="A114" s="24">
        <v>45769.0</v>
      </c>
      <c r="B114" s="6" t="s">
        <v>176</v>
      </c>
      <c r="C114" s="4">
        <v>48.62</v>
      </c>
      <c r="D114" s="9" t="s">
        <v>147</v>
      </c>
    </row>
    <row r="115">
      <c r="A115" s="24">
        <v>45769.0</v>
      </c>
      <c r="B115" s="6" t="s">
        <v>178</v>
      </c>
      <c r="C115" s="4">
        <v>102.82</v>
      </c>
      <c r="D115" s="9" t="s">
        <v>139</v>
      </c>
    </row>
    <row r="116">
      <c r="A116" s="24">
        <v>45769.0</v>
      </c>
      <c r="B116" s="6" t="s">
        <v>338</v>
      </c>
      <c r="C116" s="4">
        <v>31.17</v>
      </c>
      <c r="D116" s="9" t="s">
        <v>134</v>
      </c>
    </row>
    <row r="117">
      <c r="A117" s="24">
        <v>45770.0</v>
      </c>
      <c r="B117" s="6" t="s">
        <v>194</v>
      </c>
      <c r="C117" s="4">
        <v>36.11</v>
      </c>
      <c r="D117" s="9" t="s">
        <v>158</v>
      </c>
    </row>
    <row r="118">
      <c r="A118" s="24">
        <v>45771.0</v>
      </c>
      <c r="B118" s="6" t="s">
        <v>113</v>
      </c>
      <c r="C118" s="4">
        <v>20.22</v>
      </c>
      <c r="D118" s="9" t="s">
        <v>114</v>
      </c>
    </row>
    <row r="119">
      <c r="A119" s="30">
        <v>45768.0</v>
      </c>
      <c r="B119" s="6" t="s">
        <v>373</v>
      </c>
      <c r="C119" s="4">
        <v>6.64</v>
      </c>
      <c r="D119" s="9" t="s">
        <v>135</v>
      </c>
    </row>
    <row r="120">
      <c r="A120" s="30">
        <v>45765.0</v>
      </c>
      <c r="B120" s="26" t="s">
        <v>142</v>
      </c>
      <c r="C120" s="4">
        <v>14.68</v>
      </c>
      <c r="D120" s="9" t="s">
        <v>124</v>
      </c>
    </row>
    <row r="121">
      <c r="A121" s="30">
        <v>45765.0</v>
      </c>
      <c r="B121" s="26" t="s">
        <v>142</v>
      </c>
      <c r="C121" s="4">
        <v>67.78</v>
      </c>
      <c r="D121" s="9" t="s">
        <v>124</v>
      </c>
    </row>
    <row r="122">
      <c r="A122" s="30">
        <v>45765.0</v>
      </c>
      <c r="B122" s="6" t="s">
        <v>374</v>
      </c>
      <c r="C122" s="4">
        <v>59.22</v>
      </c>
      <c r="D122" s="9" t="s">
        <v>116</v>
      </c>
    </row>
    <row r="123">
      <c r="A123" s="30">
        <v>45763.0</v>
      </c>
      <c r="B123" s="6" t="s">
        <v>375</v>
      </c>
      <c r="C123" s="4">
        <v>4.5</v>
      </c>
      <c r="D123" s="9" t="s">
        <v>317</v>
      </c>
    </row>
    <row r="124">
      <c r="A124" s="30">
        <v>45762.0</v>
      </c>
      <c r="B124" s="6" t="s">
        <v>159</v>
      </c>
      <c r="C124" s="4">
        <v>102.64</v>
      </c>
      <c r="D124" s="9" t="s">
        <v>110</v>
      </c>
    </row>
    <row r="125">
      <c r="A125" s="30">
        <v>45761.0</v>
      </c>
      <c r="B125" s="6" t="s">
        <v>174</v>
      </c>
      <c r="C125" s="4">
        <v>39.82</v>
      </c>
      <c r="D125" s="9" t="s">
        <v>161</v>
      </c>
    </row>
    <row r="126">
      <c r="A126" s="30">
        <v>45760.0</v>
      </c>
      <c r="B126" s="6" t="s">
        <v>376</v>
      </c>
      <c r="C126" s="4">
        <v>22.79</v>
      </c>
      <c r="D126" s="9" t="s">
        <v>134</v>
      </c>
    </row>
    <row r="127">
      <c r="A127" s="30">
        <v>45760.0</v>
      </c>
      <c r="B127" s="6" t="s">
        <v>377</v>
      </c>
      <c r="C127" s="4">
        <v>78.04</v>
      </c>
      <c r="D127" s="9" t="s">
        <v>110</v>
      </c>
    </row>
    <row r="128">
      <c r="A128" s="30">
        <v>45758.0</v>
      </c>
      <c r="B128" s="6" t="s">
        <v>245</v>
      </c>
      <c r="C128" s="4">
        <v>336.13</v>
      </c>
      <c r="D128" s="9" t="s">
        <v>230</v>
      </c>
    </row>
    <row r="129">
      <c r="A129" s="30">
        <v>45758.0</v>
      </c>
      <c r="B129" s="6" t="s">
        <v>115</v>
      </c>
      <c r="C129" s="4">
        <v>72.99</v>
      </c>
      <c r="D129" s="9" t="s">
        <v>116</v>
      </c>
    </row>
    <row r="130">
      <c r="A130" s="30">
        <v>45756.0</v>
      </c>
      <c r="B130" s="6" t="s">
        <v>378</v>
      </c>
      <c r="C130" s="4">
        <v>49.34</v>
      </c>
      <c r="D130" s="9" t="s">
        <v>134</v>
      </c>
    </row>
    <row r="131">
      <c r="A131" s="30">
        <v>45755.0</v>
      </c>
      <c r="B131" s="6" t="s">
        <v>379</v>
      </c>
      <c r="C131" s="4">
        <v>430.93</v>
      </c>
      <c r="D131" s="9" t="s">
        <v>147</v>
      </c>
    </row>
    <row r="132">
      <c r="A132" s="30">
        <v>45753.0</v>
      </c>
      <c r="B132" s="6" t="s">
        <v>380</v>
      </c>
      <c r="C132" s="4">
        <v>36.03</v>
      </c>
      <c r="D132" s="9" t="s">
        <v>134</v>
      </c>
    </row>
    <row r="133">
      <c r="A133" s="30">
        <v>45753.0</v>
      </c>
      <c r="B133" s="6" t="s">
        <v>381</v>
      </c>
      <c r="C133" s="4">
        <v>7.65</v>
      </c>
      <c r="D133" s="9" t="s">
        <v>135</v>
      </c>
    </row>
    <row r="134">
      <c r="A134" s="30">
        <v>45752.0</v>
      </c>
      <c r="B134" s="6" t="s">
        <v>382</v>
      </c>
      <c r="C134" s="4">
        <v>204.51</v>
      </c>
      <c r="D134" s="9" t="s">
        <v>141</v>
      </c>
    </row>
    <row r="135">
      <c r="A135" s="30">
        <v>45752.0</v>
      </c>
      <c r="B135" s="26" t="s">
        <v>142</v>
      </c>
      <c r="C135" s="4">
        <v>10.16</v>
      </c>
      <c r="D135" s="9" t="s">
        <v>124</v>
      </c>
    </row>
    <row r="136">
      <c r="A136" s="30">
        <v>45751.0</v>
      </c>
      <c r="B136" s="6" t="s">
        <v>383</v>
      </c>
      <c r="C136" s="4">
        <v>100.51</v>
      </c>
      <c r="D136" s="9" t="s">
        <v>317</v>
      </c>
    </row>
    <row r="137">
      <c r="A137" s="30">
        <v>45750.0</v>
      </c>
      <c r="B137" s="6" t="s">
        <v>115</v>
      </c>
      <c r="C137" s="4">
        <v>76.97</v>
      </c>
      <c r="D137" s="9" t="s">
        <v>116</v>
      </c>
    </row>
    <row r="138">
      <c r="A138" s="30">
        <v>45749.0</v>
      </c>
      <c r="B138" s="6" t="s">
        <v>375</v>
      </c>
      <c r="C138" s="4">
        <v>4.5</v>
      </c>
      <c r="D138" s="9" t="s">
        <v>317</v>
      </c>
    </row>
    <row r="139">
      <c r="A139" s="30">
        <v>45748.0</v>
      </c>
      <c r="B139" s="26" t="s">
        <v>142</v>
      </c>
      <c r="C139" s="4">
        <v>3.38</v>
      </c>
      <c r="D139" s="9" t="s">
        <v>124</v>
      </c>
    </row>
    <row r="140">
      <c r="A140" s="30">
        <v>45748.0</v>
      </c>
      <c r="B140" s="6" t="s">
        <v>384</v>
      </c>
      <c r="C140" s="4">
        <v>50.31</v>
      </c>
      <c r="D140" s="9" t="s">
        <v>123</v>
      </c>
    </row>
    <row r="141">
      <c r="A141" s="30">
        <v>45748.0</v>
      </c>
      <c r="B141" s="6" t="s">
        <v>385</v>
      </c>
      <c r="C141" s="4">
        <v>56.5</v>
      </c>
      <c r="D141" s="9" t="s">
        <v>326</v>
      </c>
    </row>
    <row r="142">
      <c r="A142" s="30">
        <v>45746.0</v>
      </c>
      <c r="B142" s="6" t="s">
        <v>386</v>
      </c>
      <c r="C142" s="4">
        <v>20.09</v>
      </c>
      <c r="D142" s="9" t="s">
        <v>134</v>
      </c>
    </row>
    <row r="143">
      <c r="A143" s="30">
        <v>45745.0</v>
      </c>
      <c r="B143" s="6" t="s">
        <v>387</v>
      </c>
      <c r="C143" s="4">
        <v>80.0</v>
      </c>
      <c r="D143" s="9" t="s">
        <v>112</v>
      </c>
    </row>
    <row r="144">
      <c r="A144" s="30">
        <v>45742.0</v>
      </c>
      <c r="B144" s="6" t="s">
        <v>213</v>
      </c>
      <c r="C144" s="4">
        <v>-414.54</v>
      </c>
      <c r="D144" s="9" t="s">
        <v>128</v>
      </c>
    </row>
    <row r="145">
      <c r="A145" s="30">
        <v>45742.0</v>
      </c>
      <c r="B145" s="6" t="s">
        <v>229</v>
      </c>
      <c r="C145" s="4">
        <v>30.02</v>
      </c>
      <c r="D145" s="9" t="s">
        <v>134</v>
      </c>
    </row>
    <row r="146">
      <c r="A146" s="30">
        <v>45771.0</v>
      </c>
      <c r="B146" s="6" t="s">
        <v>245</v>
      </c>
      <c r="C146" s="4">
        <v>609.25</v>
      </c>
      <c r="D146" s="9" t="s">
        <v>230</v>
      </c>
    </row>
    <row r="147">
      <c r="A147" s="30">
        <v>45771.0</v>
      </c>
      <c r="B147" s="6" t="s">
        <v>245</v>
      </c>
      <c r="C147" s="4">
        <v>123.67</v>
      </c>
      <c r="D147" s="9" t="s">
        <v>230</v>
      </c>
    </row>
    <row r="148">
      <c r="A148" s="24">
        <v>45773.0</v>
      </c>
      <c r="B148" s="6" t="s">
        <v>339</v>
      </c>
      <c r="C148" s="4">
        <v>30.09</v>
      </c>
      <c r="D148" s="9" t="s">
        <v>135</v>
      </c>
    </row>
    <row r="149">
      <c r="A149" s="24">
        <v>45773.0</v>
      </c>
      <c r="B149" s="6" t="s">
        <v>185</v>
      </c>
      <c r="C149" s="4">
        <v>36.87</v>
      </c>
      <c r="D149" s="9" t="s">
        <v>131</v>
      </c>
    </row>
    <row r="150">
      <c r="A150" s="24">
        <v>45773.0</v>
      </c>
      <c r="B150" s="6" t="s">
        <v>388</v>
      </c>
      <c r="C150" s="4">
        <v>46.01</v>
      </c>
      <c r="D150" s="9" t="s">
        <v>137</v>
      </c>
    </row>
    <row r="151">
      <c r="A151" s="30">
        <v>45773.0</v>
      </c>
      <c r="B151" s="6" t="s">
        <v>213</v>
      </c>
      <c r="C151" s="4">
        <v>-1966.13</v>
      </c>
      <c r="D151" s="9" t="s">
        <v>128</v>
      </c>
    </row>
    <row r="152">
      <c r="A152" s="30">
        <v>45773.0</v>
      </c>
      <c r="B152" s="6" t="s">
        <v>213</v>
      </c>
      <c r="C152" s="4">
        <v>-1966.13</v>
      </c>
      <c r="D152" s="9" t="s">
        <v>128</v>
      </c>
    </row>
    <row r="153">
      <c r="A153" s="28">
        <v>45773.0</v>
      </c>
      <c r="B153" s="6" t="s">
        <v>389</v>
      </c>
      <c r="C153" s="4">
        <v>28.45</v>
      </c>
      <c r="D153" s="9" t="s">
        <v>112</v>
      </c>
    </row>
    <row r="154">
      <c r="A154" s="28">
        <v>45773.0</v>
      </c>
      <c r="B154" s="6" t="s">
        <v>235</v>
      </c>
      <c r="C154" s="4">
        <v>57.08</v>
      </c>
      <c r="D154" s="9" t="s">
        <v>134</v>
      </c>
    </row>
    <row r="155">
      <c r="A155" s="24">
        <v>45774.0</v>
      </c>
      <c r="B155" s="6" t="s">
        <v>185</v>
      </c>
      <c r="C155" s="4">
        <v>53.81</v>
      </c>
      <c r="D155" s="9" t="s">
        <v>131</v>
      </c>
    </row>
    <row r="156">
      <c r="A156" s="24">
        <v>45774.0</v>
      </c>
      <c r="B156" s="6" t="s">
        <v>390</v>
      </c>
      <c r="C156" s="4">
        <v>47.98</v>
      </c>
      <c r="D156" s="9" t="s">
        <v>139</v>
      </c>
    </row>
    <row r="157">
      <c r="A157" s="24">
        <v>45774.0</v>
      </c>
      <c r="B157" s="6" t="s">
        <v>391</v>
      </c>
      <c r="C157" s="4">
        <v>27.95</v>
      </c>
      <c r="D157" s="9" t="s">
        <v>139</v>
      </c>
    </row>
    <row r="158">
      <c r="A158" s="24">
        <v>45774.0</v>
      </c>
      <c r="B158" s="6" t="s">
        <v>125</v>
      </c>
      <c r="C158" s="4">
        <v>16.94</v>
      </c>
      <c r="D158" s="9" t="s">
        <v>126</v>
      </c>
    </row>
    <row r="159">
      <c r="A159" s="28">
        <v>45774.0</v>
      </c>
      <c r="B159" s="6" t="s">
        <v>196</v>
      </c>
      <c r="C159" s="4">
        <v>76.0</v>
      </c>
      <c r="D159" s="9" t="s">
        <v>110</v>
      </c>
    </row>
    <row r="160">
      <c r="A160" s="28">
        <v>45774.0</v>
      </c>
      <c r="B160" s="6" t="s">
        <v>207</v>
      </c>
      <c r="C160" s="4">
        <v>14.68</v>
      </c>
      <c r="D160" s="9" t="s">
        <v>166</v>
      </c>
    </row>
    <row r="161">
      <c r="A161" s="28">
        <v>45775.0</v>
      </c>
      <c r="B161" s="26" t="s">
        <v>247</v>
      </c>
      <c r="C161" s="4">
        <v>17.09</v>
      </c>
      <c r="D161" s="9" t="s">
        <v>145</v>
      </c>
    </row>
    <row r="162">
      <c r="A162" s="28">
        <v>45775.0</v>
      </c>
      <c r="B162" s="6" t="s">
        <v>392</v>
      </c>
      <c r="C162" s="4">
        <v>19.0</v>
      </c>
      <c r="D162" s="9" t="s">
        <v>129</v>
      </c>
    </row>
    <row r="163">
      <c r="A163" s="24">
        <v>45776.0</v>
      </c>
      <c r="B163" s="6" t="s">
        <v>185</v>
      </c>
      <c r="C163" s="4">
        <v>28.97</v>
      </c>
      <c r="D163" s="9" t="s">
        <v>131</v>
      </c>
    </row>
    <row r="164">
      <c r="A164" s="24">
        <v>45776.0</v>
      </c>
      <c r="B164" s="6" t="s">
        <v>125</v>
      </c>
      <c r="C164" s="4">
        <v>24.85</v>
      </c>
      <c r="D164" s="9" t="s">
        <v>126</v>
      </c>
    </row>
    <row r="165">
      <c r="A165" s="24">
        <v>45777.0</v>
      </c>
      <c r="B165" s="6" t="s">
        <v>393</v>
      </c>
      <c r="C165" s="4">
        <v>135.93</v>
      </c>
      <c r="D165" s="9" t="s">
        <v>139</v>
      </c>
    </row>
    <row r="166">
      <c r="A166" s="24">
        <v>45777.0</v>
      </c>
      <c r="B166" s="6" t="s">
        <v>251</v>
      </c>
      <c r="C166" s="4">
        <v>163.78</v>
      </c>
      <c r="D166" s="9" t="s">
        <v>228</v>
      </c>
    </row>
    <row r="167">
      <c r="A167" s="24">
        <v>45777.0</v>
      </c>
      <c r="B167" s="6" t="s">
        <v>251</v>
      </c>
      <c r="C167" s="4">
        <v>211.95</v>
      </c>
      <c r="D167" s="9" t="s">
        <v>228</v>
      </c>
    </row>
    <row r="168">
      <c r="A168" s="24">
        <v>45777.0</v>
      </c>
      <c r="B168" s="6" t="s">
        <v>394</v>
      </c>
      <c r="C168" s="4">
        <v>528.84</v>
      </c>
      <c r="D168" s="9" t="s">
        <v>139</v>
      </c>
    </row>
    <row r="169">
      <c r="A169" s="24">
        <v>45777.0</v>
      </c>
      <c r="B169" s="6" t="s">
        <v>195</v>
      </c>
      <c r="C169" s="4">
        <v>-10336.03</v>
      </c>
      <c r="D169" s="9" t="s">
        <v>128</v>
      </c>
    </row>
    <row r="170">
      <c r="A170" s="24">
        <v>45777.0</v>
      </c>
      <c r="B170" s="6" t="s">
        <v>395</v>
      </c>
      <c r="C170" s="4">
        <v>134.74</v>
      </c>
      <c r="D170" s="9" t="s">
        <v>164</v>
      </c>
    </row>
    <row r="171">
      <c r="A171" s="30">
        <v>45777.0</v>
      </c>
      <c r="B171" s="6" t="s">
        <v>396</v>
      </c>
      <c r="C171" s="4">
        <v>204.53</v>
      </c>
      <c r="D171" s="9" t="s">
        <v>147</v>
      </c>
    </row>
    <row r="172">
      <c r="A172" s="30">
        <v>45777.0</v>
      </c>
      <c r="B172" s="6" t="s">
        <v>396</v>
      </c>
      <c r="C172" s="4">
        <v>204.53</v>
      </c>
      <c r="D172" s="9" t="s">
        <v>147</v>
      </c>
    </row>
    <row r="173">
      <c r="A173" s="28">
        <v>45777.0</v>
      </c>
      <c r="B173" s="6" t="s">
        <v>115</v>
      </c>
      <c r="C173" s="4">
        <v>66.99</v>
      </c>
      <c r="D173" s="9" t="s">
        <v>116</v>
      </c>
    </row>
    <row r="174">
      <c r="A174" s="28">
        <v>45777.0</v>
      </c>
      <c r="B174" s="6" t="s">
        <v>197</v>
      </c>
      <c r="C174" s="4">
        <v>58.17</v>
      </c>
      <c r="D174" s="9" t="s">
        <v>149</v>
      </c>
    </row>
    <row r="175">
      <c r="A175" s="28">
        <v>45777.0</v>
      </c>
      <c r="B175" s="6" t="s">
        <v>226</v>
      </c>
      <c r="C175" s="4">
        <v>103.95</v>
      </c>
      <c r="D175" s="9" t="s">
        <v>121</v>
      </c>
    </row>
    <row r="176">
      <c r="A176" s="28">
        <v>45777.0</v>
      </c>
      <c r="B176" s="6" t="s">
        <v>225</v>
      </c>
      <c r="C176" s="4">
        <v>64.59</v>
      </c>
      <c r="D176" s="9" t="s">
        <v>110</v>
      </c>
    </row>
    <row r="177">
      <c r="C177" s="5"/>
    </row>
    <row r="178">
      <c r="C178" s="5"/>
    </row>
    <row r="179">
      <c r="C179" s="5"/>
    </row>
    <row r="180">
      <c r="C180" s="5"/>
    </row>
    <row r="181">
      <c r="C181" s="5"/>
    </row>
    <row r="182">
      <c r="C182" s="5"/>
    </row>
    <row r="183">
      <c r="C183" s="5"/>
    </row>
    <row r="184">
      <c r="C184" s="5"/>
    </row>
    <row r="185">
      <c r="C185" s="5"/>
    </row>
    <row r="186">
      <c r="C186" s="5"/>
    </row>
    <row r="187">
      <c r="C187" s="5"/>
    </row>
    <row r="188">
      <c r="C188" s="5"/>
    </row>
    <row r="189">
      <c r="C189" s="5"/>
    </row>
    <row r="190">
      <c r="C190" s="5"/>
    </row>
    <row r="191">
      <c r="C191" s="5"/>
    </row>
    <row r="192">
      <c r="C192" s="5"/>
    </row>
    <row r="193">
      <c r="C193" s="5"/>
    </row>
    <row r="194">
      <c r="C194" s="5"/>
    </row>
    <row r="195">
      <c r="C195" s="5"/>
    </row>
    <row r="196">
      <c r="C196" s="5"/>
    </row>
    <row r="197">
      <c r="C197" s="5"/>
    </row>
    <row r="198">
      <c r="C198" s="5"/>
    </row>
    <row r="199">
      <c r="C199" s="5"/>
    </row>
    <row r="200">
      <c r="C200" s="5"/>
    </row>
    <row r="201">
      <c r="C201" s="5"/>
    </row>
    <row r="202">
      <c r="C202" s="5"/>
    </row>
    <row r="203">
      <c r="C203" s="5"/>
    </row>
    <row r="204">
      <c r="C204" s="5"/>
    </row>
    <row r="205">
      <c r="C205" s="5"/>
    </row>
    <row r="206">
      <c r="C206" s="5"/>
    </row>
    <row r="207">
      <c r="C207" s="5"/>
    </row>
    <row r="208">
      <c r="C208" s="5"/>
    </row>
    <row r="209">
      <c r="C209" s="5"/>
    </row>
    <row r="210">
      <c r="C210" s="5"/>
    </row>
    <row r="211">
      <c r="C211" s="5"/>
    </row>
    <row r="212">
      <c r="C212" s="5"/>
    </row>
    <row r="213">
      <c r="C213" s="5"/>
    </row>
    <row r="214">
      <c r="C214" s="5"/>
    </row>
    <row r="215">
      <c r="C215" s="5"/>
    </row>
    <row r="216">
      <c r="C216" s="5"/>
    </row>
    <row r="217">
      <c r="C217" s="5"/>
    </row>
    <row r="218">
      <c r="C218" s="5"/>
    </row>
    <row r="219">
      <c r="C219" s="5"/>
    </row>
    <row r="220">
      <c r="C220" s="5"/>
    </row>
    <row r="221">
      <c r="C221" s="5"/>
    </row>
    <row r="222">
      <c r="C222" s="5"/>
    </row>
    <row r="223">
      <c r="C223" s="5"/>
    </row>
    <row r="224">
      <c r="C224" s="5"/>
    </row>
    <row r="225">
      <c r="C225" s="5"/>
    </row>
    <row r="226">
      <c r="C226" s="5"/>
    </row>
    <row r="227">
      <c r="C227" s="5"/>
    </row>
    <row r="228">
      <c r="C228" s="5"/>
    </row>
    <row r="229">
      <c r="C229" s="5"/>
    </row>
    <row r="230">
      <c r="C230" s="5"/>
    </row>
    <row r="231">
      <c r="C231" s="5"/>
    </row>
    <row r="232">
      <c r="C232" s="5"/>
    </row>
    <row r="233">
      <c r="C233" s="5"/>
    </row>
    <row r="234">
      <c r="C234" s="5"/>
    </row>
    <row r="235">
      <c r="C235" s="5"/>
    </row>
    <row r="236">
      <c r="C236" s="5"/>
    </row>
    <row r="237">
      <c r="C237" s="5"/>
    </row>
    <row r="238">
      <c r="C238" s="5"/>
    </row>
    <row r="239">
      <c r="C239" s="5"/>
    </row>
    <row r="240">
      <c r="C240" s="5"/>
    </row>
    <row r="241">
      <c r="C241" s="5"/>
    </row>
    <row r="242">
      <c r="C242" s="5"/>
    </row>
    <row r="243">
      <c r="C243" s="5"/>
    </row>
    <row r="244">
      <c r="C244" s="5"/>
    </row>
    <row r="245">
      <c r="C245" s="5"/>
    </row>
    <row r="246">
      <c r="C246" s="5"/>
    </row>
    <row r="247">
      <c r="C247" s="5"/>
    </row>
    <row r="248">
      <c r="C248" s="5"/>
    </row>
    <row r="249">
      <c r="C249" s="5"/>
    </row>
    <row r="250">
      <c r="C250" s="5"/>
    </row>
    <row r="251">
      <c r="C251" s="5"/>
    </row>
    <row r="252">
      <c r="C252" s="5"/>
    </row>
    <row r="253">
      <c r="C253" s="5"/>
    </row>
    <row r="254">
      <c r="C254" s="5"/>
    </row>
    <row r="255">
      <c r="C255" s="5"/>
    </row>
    <row r="256">
      <c r="C256" s="5"/>
    </row>
    <row r="257">
      <c r="C257" s="5"/>
    </row>
    <row r="258">
      <c r="C258" s="5"/>
    </row>
    <row r="259">
      <c r="C259" s="5"/>
    </row>
    <row r="260">
      <c r="C260" s="5"/>
    </row>
    <row r="261">
      <c r="C261" s="5"/>
    </row>
    <row r="262">
      <c r="C262" s="5"/>
    </row>
    <row r="263">
      <c r="C263" s="5"/>
    </row>
    <row r="264">
      <c r="C264" s="5"/>
    </row>
    <row r="265">
      <c r="C265" s="5"/>
    </row>
    <row r="266">
      <c r="C266" s="5"/>
    </row>
    <row r="267">
      <c r="C267" s="5"/>
    </row>
    <row r="268">
      <c r="C268" s="5"/>
    </row>
    <row r="269">
      <c r="C269" s="5"/>
    </row>
    <row r="270">
      <c r="C270" s="5"/>
    </row>
    <row r="271">
      <c r="C271" s="5"/>
    </row>
    <row r="272">
      <c r="C272" s="5"/>
    </row>
    <row r="273">
      <c r="C273" s="5"/>
    </row>
    <row r="274">
      <c r="C274" s="5"/>
    </row>
    <row r="275">
      <c r="C275" s="5"/>
    </row>
    <row r="276">
      <c r="C276" s="5"/>
    </row>
    <row r="277">
      <c r="C277" s="5"/>
    </row>
    <row r="278">
      <c r="C278" s="5"/>
    </row>
    <row r="279">
      <c r="C279" s="5"/>
    </row>
    <row r="280">
      <c r="C280" s="5"/>
    </row>
    <row r="281">
      <c r="C281" s="5"/>
    </row>
    <row r="282">
      <c r="C282" s="5"/>
    </row>
    <row r="283">
      <c r="C283" s="5"/>
    </row>
    <row r="284">
      <c r="C284" s="5"/>
    </row>
    <row r="285">
      <c r="C285" s="5"/>
    </row>
    <row r="286">
      <c r="C286" s="5"/>
    </row>
    <row r="287">
      <c r="C287" s="5"/>
    </row>
    <row r="288">
      <c r="C288" s="5"/>
    </row>
    <row r="289">
      <c r="C289" s="5"/>
    </row>
    <row r="290">
      <c r="C290" s="5"/>
    </row>
    <row r="291">
      <c r="C291" s="5"/>
    </row>
    <row r="292">
      <c r="C292" s="5"/>
    </row>
    <row r="293">
      <c r="C293" s="5"/>
    </row>
    <row r="294">
      <c r="C294" s="5"/>
    </row>
    <row r="295">
      <c r="C295" s="5"/>
    </row>
    <row r="296">
      <c r="C296" s="5"/>
    </row>
    <row r="297">
      <c r="C297" s="5"/>
    </row>
    <row r="298">
      <c r="C298" s="5"/>
    </row>
    <row r="299">
      <c r="C299" s="5"/>
    </row>
    <row r="300">
      <c r="C300" s="5"/>
    </row>
    <row r="301">
      <c r="C301" s="5"/>
    </row>
    <row r="302">
      <c r="C302" s="5"/>
    </row>
    <row r="303">
      <c r="C303" s="5"/>
    </row>
    <row r="304">
      <c r="C304" s="5"/>
    </row>
    <row r="305">
      <c r="C305" s="5"/>
    </row>
    <row r="306">
      <c r="C306" s="5"/>
    </row>
    <row r="307">
      <c r="C307" s="5"/>
    </row>
    <row r="308">
      <c r="C308" s="5"/>
    </row>
    <row r="309">
      <c r="C309" s="5"/>
    </row>
    <row r="310">
      <c r="C310" s="5"/>
    </row>
    <row r="311">
      <c r="C311" s="5"/>
    </row>
    <row r="312">
      <c r="C312" s="5"/>
    </row>
    <row r="313">
      <c r="C313" s="5"/>
    </row>
    <row r="314">
      <c r="C314" s="5"/>
    </row>
    <row r="315">
      <c r="C315" s="5"/>
    </row>
    <row r="316">
      <c r="C316" s="5"/>
    </row>
    <row r="317">
      <c r="C317" s="5"/>
    </row>
    <row r="318">
      <c r="C318" s="5"/>
    </row>
    <row r="319">
      <c r="C319" s="5"/>
    </row>
    <row r="320">
      <c r="C320" s="5"/>
    </row>
    <row r="321">
      <c r="C321" s="5"/>
    </row>
    <row r="322">
      <c r="C322" s="5"/>
    </row>
    <row r="323">
      <c r="C323" s="5"/>
    </row>
    <row r="324">
      <c r="C324" s="5"/>
    </row>
    <row r="325">
      <c r="C325" s="5"/>
    </row>
    <row r="326">
      <c r="C326" s="5"/>
    </row>
    <row r="327">
      <c r="C327" s="5"/>
    </row>
    <row r="328">
      <c r="C328" s="5"/>
    </row>
    <row r="329">
      <c r="C329" s="5"/>
    </row>
    <row r="330">
      <c r="C330" s="5"/>
    </row>
    <row r="331">
      <c r="C331" s="5"/>
    </row>
    <row r="332">
      <c r="C332" s="5"/>
    </row>
    <row r="333">
      <c r="C333" s="5"/>
    </row>
    <row r="334">
      <c r="C334" s="5"/>
    </row>
    <row r="335">
      <c r="C335" s="5"/>
    </row>
    <row r="336">
      <c r="C336" s="5"/>
    </row>
    <row r="337">
      <c r="C337" s="5"/>
    </row>
    <row r="338">
      <c r="C338" s="5"/>
    </row>
    <row r="339">
      <c r="C339" s="5"/>
    </row>
    <row r="340">
      <c r="C340" s="5"/>
    </row>
    <row r="341">
      <c r="C341" s="5"/>
    </row>
    <row r="342">
      <c r="C342" s="5"/>
    </row>
    <row r="343">
      <c r="C343" s="5"/>
    </row>
    <row r="344">
      <c r="C344" s="5"/>
    </row>
    <row r="345">
      <c r="C345" s="5"/>
    </row>
    <row r="346">
      <c r="C346" s="5"/>
    </row>
    <row r="347">
      <c r="C347" s="5"/>
    </row>
    <row r="348">
      <c r="C348" s="5"/>
    </row>
    <row r="349">
      <c r="C349" s="5"/>
    </row>
    <row r="350">
      <c r="C350" s="5"/>
    </row>
    <row r="351">
      <c r="C351" s="5"/>
    </row>
    <row r="352">
      <c r="C352" s="5"/>
    </row>
    <row r="353">
      <c r="C353" s="5"/>
    </row>
    <row r="354">
      <c r="C354" s="5"/>
    </row>
    <row r="355">
      <c r="C355" s="5"/>
    </row>
    <row r="356">
      <c r="C356" s="5"/>
    </row>
    <row r="357">
      <c r="C357" s="5"/>
    </row>
    <row r="358">
      <c r="C358" s="5"/>
    </row>
    <row r="359">
      <c r="C359" s="5"/>
    </row>
    <row r="360">
      <c r="C360" s="5"/>
    </row>
    <row r="361">
      <c r="C361" s="5"/>
    </row>
    <row r="362">
      <c r="C362" s="5"/>
    </row>
    <row r="363">
      <c r="C363" s="5"/>
    </row>
    <row r="364">
      <c r="C364" s="5"/>
    </row>
    <row r="365">
      <c r="C365" s="5"/>
    </row>
    <row r="366">
      <c r="C366" s="5"/>
    </row>
    <row r="367">
      <c r="C367" s="5"/>
    </row>
    <row r="368">
      <c r="C368" s="5"/>
    </row>
    <row r="369">
      <c r="C369" s="5"/>
    </row>
    <row r="370">
      <c r="C370" s="5"/>
    </row>
    <row r="371">
      <c r="C371" s="5"/>
    </row>
    <row r="372">
      <c r="C372" s="5"/>
    </row>
    <row r="373">
      <c r="C373" s="5"/>
    </row>
    <row r="374">
      <c r="C374" s="5"/>
    </row>
    <row r="375">
      <c r="C375" s="5"/>
    </row>
    <row r="376">
      <c r="C376" s="5"/>
    </row>
    <row r="377">
      <c r="C377" s="5"/>
    </row>
    <row r="378">
      <c r="C378" s="5"/>
    </row>
    <row r="379">
      <c r="C379" s="5"/>
    </row>
    <row r="380">
      <c r="C380" s="5"/>
    </row>
    <row r="381">
      <c r="C381" s="5"/>
    </row>
    <row r="382">
      <c r="C382" s="5"/>
    </row>
    <row r="383">
      <c r="C383" s="5"/>
    </row>
    <row r="384">
      <c r="C384" s="5"/>
    </row>
    <row r="385">
      <c r="C385" s="5"/>
    </row>
    <row r="386">
      <c r="C386" s="5"/>
    </row>
    <row r="387">
      <c r="C387" s="5"/>
    </row>
    <row r="388">
      <c r="C388" s="5"/>
    </row>
    <row r="389">
      <c r="C389" s="5"/>
    </row>
    <row r="390">
      <c r="C390" s="5"/>
    </row>
    <row r="391">
      <c r="C391" s="5"/>
    </row>
    <row r="392">
      <c r="C392" s="5"/>
    </row>
    <row r="393">
      <c r="C393" s="5"/>
    </row>
    <row r="394">
      <c r="C394" s="5"/>
    </row>
    <row r="395">
      <c r="C395" s="5"/>
    </row>
    <row r="396">
      <c r="C396" s="5"/>
    </row>
    <row r="397">
      <c r="C397" s="5"/>
    </row>
    <row r="398">
      <c r="C398" s="5"/>
    </row>
    <row r="399">
      <c r="C399" s="5"/>
    </row>
    <row r="400">
      <c r="C400" s="5"/>
    </row>
    <row r="401">
      <c r="C401" s="5"/>
    </row>
    <row r="402">
      <c r="C402" s="5"/>
    </row>
    <row r="403">
      <c r="C403" s="5"/>
    </row>
    <row r="404">
      <c r="C404" s="5"/>
    </row>
    <row r="405">
      <c r="C405" s="5"/>
    </row>
    <row r="406">
      <c r="C406" s="5"/>
    </row>
    <row r="407">
      <c r="C407" s="5"/>
    </row>
    <row r="408">
      <c r="C408" s="5"/>
    </row>
    <row r="409">
      <c r="C409" s="5"/>
    </row>
    <row r="410">
      <c r="C410" s="5"/>
    </row>
    <row r="411">
      <c r="C411" s="5"/>
    </row>
    <row r="412">
      <c r="C412" s="5"/>
    </row>
    <row r="413">
      <c r="C413" s="5"/>
    </row>
    <row r="414">
      <c r="C414" s="5"/>
    </row>
    <row r="415">
      <c r="C415" s="5"/>
    </row>
    <row r="416">
      <c r="C416" s="5"/>
    </row>
    <row r="417">
      <c r="C417" s="5"/>
    </row>
    <row r="418">
      <c r="C418" s="5"/>
    </row>
    <row r="419">
      <c r="C419" s="5"/>
    </row>
    <row r="420">
      <c r="C420" s="5"/>
    </row>
    <row r="421">
      <c r="C421" s="5"/>
    </row>
    <row r="422">
      <c r="C422" s="5"/>
    </row>
    <row r="423">
      <c r="C423" s="5"/>
    </row>
    <row r="424">
      <c r="C424" s="5"/>
    </row>
    <row r="425">
      <c r="C425" s="5"/>
    </row>
    <row r="426">
      <c r="C426" s="5"/>
    </row>
    <row r="427">
      <c r="C427" s="5"/>
    </row>
    <row r="428">
      <c r="C428" s="5"/>
    </row>
    <row r="429">
      <c r="C429" s="5"/>
    </row>
    <row r="430">
      <c r="C430" s="5"/>
    </row>
    <row r="431">
      <c r="C431" s="5"/>
    </row>
    <row r="432">
      <c r="C432" s="5"/>
    </row>
    <row r="433">
      <c r="C433" s="5"/>
    </row>
    <row r="434">
      <c r="C434" s="5"/>
    </row>
    <row r="435">
      <c r="C435" s="5"/>
    </row>
    <row r="436">
      <c r="C436" s="5"/>
    </row>
    <row r="437">
      <c r="C437" s="5"/>
    </row>
    <row r="438">
      <c r="C438" s="5"/>
    </row>
    <row r="439">
      <c r="C439" s="5"/>
    </row>
    <row r="440">
      <c r="C440" s="5"/>
    </row>
    <row r="441">
      <c r="C441" s="5"/>
    </row>
    <row r="442">
      <c r="C442" s="5"/>
    </row>
    <row r="443">
      <c r="C443" s="5"/>
    </row>
    <row r="444">
      <c r="C444" s="5"/>
    </row>
    <row r="445">
      <c r="C445" s="5"/>
    </row>
    <row r="446">
      <c r="C446" s="5"/>
    </row>
    <row r="447">
      <c r="C447" s="5"/>
    </row>
    <row r="448">
      <c r="C448" s="5"/>
    </row>
    <row r="449">
      <c r="C449" s="5"/>
    </row>
    <row r="450">
      <c r="C450" s="5"/>
    </row>
    <row r="451">
      <c r="C451" s="5"/>
    </row>
    <row r="452">
      <c r="C452" s="5"/>
    </row>
    <row r="453">
      <c r="C453" s="5"/>
    </row>
    <row r="454">
      <c r="C454" s="5"/>
    </row>
    <row r="455">
      <c r="C455" s="5"/>
    </row>
    <row r="456">
      <c r="C456" s="5"/>
    </row>
    <row r="457">
      <c r="C457" s="5"/>
    </row>
    <row r="458">
      <c r="C458" s="5"/>
    </row>
    <row r="459">
      <c r="C459" s="5"/>
    </row>
    <row r="460">
      <c r="C460" s="5"/>
    </row>
    <row r="461">
      <c r="C461" s="5"/>
    </row>
    <row r="462">
      <c r="C462" s="5"/>
    </row>
    <row r="463">
      <c r="C463" s="5"/>
    </row>
    <row r="464">
      <c r="C464" s="5"/>
    </row>
    <row r="465">
      <c r="C465" s="5"/>
    </row>
    <row r="466">
      <c r="C466" s="5"/>
    </row>
    <row r="467">
      <c r="C467" s="5"/>
    </row>
    <row r="468">
      <c r="C468" s="5"/>
    </row>
    <row r="469">
      <c r="C469" s="5"/>
    </row>
    <row r="470">
      <c r="C470" s="5"/>
    </row>
    <row r="471">
      <c r="C471" s="5"/>
    </row>
    <row r="472">
      <c r="C472" s="5"/>
    </row>
    <row r="473">
      <c r="C473" s="5"/>
    </row>
    <row r="474">
      <c r="C474" s="5"/>
    </row>
    <row r="475">
      <c r="C475" s="5"/>
    </row>
    <row r="476">
      <c r="C476" s="5"/>
    </row>
    <row r="477">
      <c r="C477" s="5"/>
    </row>
    <row r="478">
      <c r="C478" s="5"/>
    </row>
    <row r="479">
      <c r="C479" s="5"/>
    </row>
    <row r="480">
      <c r="C480" s="5"/>
    </row>
    <row r="481">
      <c r="C481" s="5"/>
    </row>
    <row r="482">
      <c r="C482" s="5"/>
    </row>
    <row r="483">
      <c r="C483" s="5"/>
    </row>
    <row r="484">
      <c r="C484" s="5"/>
    </row>
    <row r="485">
      <c r="C485" s="5"/>
    </row>
    <row r="486">
      <c r="C486" s="5"/>
    </row>
    <row r="487">
      <c r="C487" s="5"/>
    </row>
    <row r="488">
      <c r="C488" s="5"/>
    </row>
    <row r="489">
      <c r="C489" s="5"/>
    </row>
    <row r="490">
      <c r="C490" s="5"/>
    </row>
    <row r="491">
      <c r="C491" s="5"/>
    </row>
    <row r="492">
      <c r="C492" s="5"/>
    </row>
    <row r="493">
      <c r="C493" s="5"/>
    </row>
    <row r="494">
      <c r="C494" s="5"/>
    </row>
    <row r="495">
      <c r="C495" s="5"/>
    </row>
    <row r="496">
      <c r="C496" s="5"/>
    </row>
    <row r="497">
      <c r="C497" s="5"/>
    </row>
    <row r="498">
      <c r="C498" s="5"/>
    </row>
    <row r="499">
      <c r="C499" s="5"/>
    </row>
    <row r="500">
      <c r="C500" s="5"/>
    </row>
    <row r="501">
      <c r="C501" s="5"/>
    </row>
    <row r="502">
      <c r="C502" s="5"/>
    </row>
    <row r="503">
      <c r="C503" s="5"/>
    </row>
    <row r="504">
      <c r="C504" s="5"/>
    </row>
    <row r="505">
      <c r="C505" s="5"/>
    </row>
    <row r="506">
      <c r="C506" s="5"/>
    </row>
    <row r="507">
      <c r="C507" s="5"/>
    </row>
    <row r="508">
      <c r="C508" s="5"/>
    </row>
    <row r="509">
      <c r="C509" s="5"/>
    </row>
    <row r="510">
      <c r="C510" s="5"/>
    </row>
    <row r="511">
      <c r="C511" s="5"/>
    </row>
    <row r="512">
      <c r="C512" s="5"/>
    </row>
    <row r="513">
      <c r="C513" s="5"/>
    </row>
    <row r="514">
      <c r="C514" s="5"/>
    </row>
    <row r="515">
      <c r="C515" s="5"/>
    </row>
    <row r="516">
      <c r="C516" s="5"/>
    </row>
    <row r="517">
      <c r="C517" s="5"/>
    </row>
    <row r="518">
      <c r="C518" s="5"/>
    </row>
    <row r="519">
      <c r="C519" s="5"/>
    </row>
    <row r="520">
      <c r="C520" s="5"/>
    </row>
    <row r="521">
      <c r="C521" s="5"/>
    </row>
    <row r="522">
      <c r="C522" s="5"/>
    </row>
    <row r="523">
      <c r="C523" s="5"/>
    </row>
    <row r="524">
      <c r="C524" s="5"/>
    </row>
    <row r="525">
      <c r="C525" s="5"/>
    </row>
    <row r="526">
      <c r="C526" s="5"/>
    </row>
    <row r="527">
      <c r="C527" s="5"/>
    </row>
    <row r="528">
      <c r="C528" s="5"/>
    </row>
    <row r="529">
      <c r="C529" s="5"/>
    </row>
    <row r="530">
      <c r="C530" s="5"/>
    </row>
    <row r="531">
      <c r="C531" s="5"/>
    </row>
    <row r="532">
      <c r="C532" s="5"/>
    </row>
    <row r="533">
      <c r="C533" s="5"/>
    </row>
    <row r="534">
      <c r="C534" s="5"/>
    </row>
    <row r="535">
      <c r="C535" s="5"/>
    </row>
    <row r="536">
      <c r="C536" s="5"/>
    </row>
    <row r="537">
      <c r="C537" s="5"/>
    </row>
    <row r="538">
      <c r="C538" s="5"/>
    </row>
    <row r="539">
      <c r="C539" s="5"/>
    </row>
    <row r="540">
      <c r="C540" s="5"/>
    </row>
    <row r="541">
      <c r="C541" s="5"/>
    </row>
    <row r="542">
      <c r="C542" s="5"/>
    </row>
    <row r="543">
      <c r="C543" s="5"/>
    </row>
    <row r="544">
      <c r="C544" s="5"/>
    </row>
    <row r="545">
      <c r="C545" s="5"/>
    </row>
    <row r="546">
      <c r="C546" s="5"/>
    </row>
    <row r="547">
      <c r="C547" s="5"/>
    </row>
    <row r="548">
      <c r="C548" s="5"/>
    </row>
    <row r="549">
      <c r="C549" s="5"/>
    </row>
    <row r="550">
      <c r="C550" s="5"/>
    </row>
    <row r="551">
      <c r="C551" s="5"/>
    </row>
    <row r="552">
      <c r="C552" s="5"/>
    </row>
    <row r="553">
      <c r="C553" s="5"/>
    </row>
    <row r="554">
      <c r="C554" s="5"/>
    </row>
    <row r="555">
      <c r="C555" s="5"/>
    </row>
    <row r="556">
      <c r="C556" s="5"/>
    </row>
    <row r="557">
      <c r="C557" s="5"/>
    </row>
    <row r="558">
      <c r="C558" s="5"/>
    </row>
    <row r="559">
      <c r="C559" s="5"/>
    </row>
    <row r="560">
      <c r="C560" s="5"/>
    </row>
    <row r="561">
      <c r="C561" s="5"/>
    </row>
    <row r="562">
      <c r="C562" s="5"/>
    </row>
    <row r="563">
      <c r="C563" s="5"/>
    </row>
    <row r="564">
      <c r="C564" s="5"/>
    </row>
    <row r="565">
      <c r="C565" s="5"/>
    </row>
    <row r="566">
      <c r="C566" s="5"/>
    </row>
    <row r="567">
      <c r="C567" s="5"/>
    </row>
    <row r="568">
      <c r="C568" s="5"/>
    </row>
    <row r="569">
      <c r="C569" s="5"/>
    </row>
    <row r="570">
      <c r="C570" s="5"/>
    </row>
    <row r="571">
      <c r="C571" s="5"/>
    </row>
    <row r="572">
      <c r="C572" s="5"/>
    </row>
    <row r="573">
      <c r="C573" s="5"/>
    </row>
    <row r="574">
      <c r="C574" s="5"/>
    </row>
    <row r="575">
      <c r="C575" s="5"/>
    </row>
    <row r="576">
      <c r="C576" s="5"/>
    </row>
    <row r="577">
      <c r="C577" s="5"/>
    </row>
    <row r="578">
      <c r="C578" s="5"/>
    </row>
    <row r="579">
      <c r="C579" s="5"/>
    </row>
    <row r="580">
      <c r="C580" s="5"/>
    </row>
    <row r="581">
      <c r="C581" s="5"/>
    </row>
    <row r="582">
      <c r="C582" s="5"/>
    </row>
    <row r="583">
      <c r="C583" s="5"/>
    </row>
    <row r="584">
      <c r="C584" s="5"/>
    </row>
    <row r="585">
      <c r="C585" s="5"/>
    </row>
    <row r="586">
      <c r="C586" s="5"/>
    </row>
    <row r="587">
      <c r="C587" s="5"/>
    </row>
    <row r="588">
      <c r="C588" s="5"/>
    </row>
    <row r="589">
      <c r="C589" s="5"/>
    </row>
    <row r="590">
      <c r="C590" s="5"/>
    </row>
    <row r="591">
      <c r="C591" s="5"/>
    </row>
    <row r="592">
      <c r="C592" s="5"/>
    </row>
    <row r="593">
      <c r="C593" s="5"/>
    </row>
    <row r="594">
      <c r="C594" s="5"/>
    </row>
    <row r="595">
      <c r="C595" s="5"/>
    </row>
    <row r="596">
      <c r="C596" s="5"/>
    </row>
    <row r="597">
      <c r="C597" s="5"/>
    </row>
    <row r="598">
      <c r="C598" s="5"/>
    </row>
    <row r="599">
      <c r="C599" s="5"/>
    </row>
    <row r="600">
      <c r="C600" s="5"/>
    </row>
    <row r="601">
      <c r="C601" s="5"/>
    </row>
    <row r="602">
      <c r="C602" s="5"/>
    </row>
    <row r="603">
      <c r="C603" s="5"/>
    </row>
    <row r="604">
      <c r="C604" s="5"/>
    </row>
    <row r="605">
      <c r="C605" s="5"/>
    </row>
    <row r="606">
      <c r="C606" s="5"/>
    </row>
    <row r="607">
      <c r="C607" s="5"/>
    </row>
    <row r="608">
      <c r="C608" s="5"/>
    </row>
    <row r="609">
      <c r="C609" s="5"/>
    </row>
    <row r="610">
      <c r="C610" s="5"/>
    </row>
    <row r="611">
      <c r="C611" s="5"/>
    </row>
    <row r="612">
      <c r="C612" s="5"/>
    </row>
    <row r="613">
      <c r="C613" s="5"/>
    </row>
    <row r="614">
      <c r="C614" s="5"/>
    </row>
    <row r="615">
      <c r="C615" s="5"/>
    </row>
    <row r="616">
      <c r="C616" s="5"/>
    </row>
    <row r="617">
      <c r="C617" s="5"/>
    </row>
    <row r="618">
      <c r="C618" s="5"/>
    </row>
    <row r="619">
      <c r="C619" s="5"/>
    </row>
    <row r="620">
      <c r="C620" s="5"/>
    </row>
    <row r="621">
      <c r="C621" s="5"/>
    </row>
    <row r="622">
      <c r="C622" s="5"/>
    </row>
    <row r="623">
      <c r="C623" s="5"/>
    </row>
    <row r="624">
      <c r="C624" s="5"/>
    </row>
    <row r="625">
      <c r="C625" s="5"/>
    </row>
    <row r="626">
      <c r="C626" s="5"/>
    </row>
    <row r="627">
      <c r="C627" s="5"/>
    </row>
    <row r="628">
      <c r="C628" s="5"/>
    </row>
    <row r="629">
      <c r="C629" s="5"/>
    </row>
    <row r="630">
      <c r="C630" s="5"/>
    </row>
    <row r="631">
      <c r="C631" s="5"/>
    </row>
    <row r="632">
      <c r="C632" s="5"/>
    </row>
    <row r="633">
      <c r="C633" s="5"/>
    </row>
    <row r="634">
      <c r="C634" s="5"/>
    </row>
    <row r="635">
      <c r="C635" s="5"/>
    </row>
    <row r="636">
      <c r="C636" s="5"/>
    </row>
    <row r="637">
      <c r="C637" s="5"/>
    </row>
    <row r="638">
      <c r="C638" s="5"/>
    </row>
    <row r="639">
      <c r="C639" s="5"/>
    </row>
    <row r="640">
      <c r="C640" s="5"/>
    </row>
    <row r="641">
      <c r="C641" s="5"/>
    </row>
    <row r="642">
      <c r="C642" s="5"/>
    </row>
    <row r="643">
      <c r="C643" s="5"/>
    </row>
    <row r="644">
      <c r="C644" s="5"/>
    </row>
    <row r="645">
      <c r="C645" s="5"/>
    </row>
    <row r="646">
      <c r="C646" s="5"/>
    </row>
    <row r="647">
      <c r="C647" s="5"/>
    </row>
    <row r="648">
      <c r="C648" s="5"/>
    </row>
    <row r="649">
      <c r="C649" s="5"/>
    </row>
    <row r="650">
      <c r="C650" s="5"/>
    </row>
    <row r="651">
      <c r="C651" s="5"/>
    </row>
    <row r="652">
      <c r="C652" s="5"/>
    </row>
    <row r="653">
      <c r="C653" s="5"/>
    </row>
    <row r="654">
      <c r="C654" s="5"/>
    </row>
    <row r="655">
      <c r="C655" s="5"/>
    </row>
    <row r="656">
      <c r="C656" s="5"/>
    </row>
    <row r="657">
      <c r="C657" s="5"/>
    </row>
    <row r="658">
      <c r="C658" s="5"/>
    </row>
    <row r="659">
      <c r="C659" s="5"/>
    </row>
    <row r="660">
      <c r="C660" s="5"/>
    </row>
    <row r="661">
      <c r="C661" s="5"/>
    </row>
    <row r="662">
      <c r="C662" s="5"/>
    </row>
    <row r="663">
      <c r="C663" s="5"/>
    </row>
    <row r="664">
      <c r="C664" s="5"/>
    </row>
    <row r="665">
      <c r="C665" s="5"/>
    </row>
    <row r="666">
      <c r="C666" s="5"/>
    </row>
    <row r="667">
      <c r="C667" s="5"/>
    </row>
    <row r="668">
      <c r="C668" s="5"/>
    </row>
    <row r="669">
      <c r="C669" s="5"/>
    </row>
    <row r="670">
      <c r="C670" s="5"/>
    </row>
    <row r="671">
      <c r="C671" s="5"/>
    </row>
    <row r="672">
      <c r="C672" s="5"/>
    </row>
    <row r="673">
      <c r="C673" s="5"/>
    </row>
    <row r="674">
      <c r="C674" s="5"/>
    </row>
    <row r="675">
      <c r="C675" s="5"/>
    </row>
    <row r="676">
      <c r="C676" s="5"/>
    </row>
    <row r="677">
      <c r="C677" s="5"/>
    </row>
    <row r="678">
      <c r="C678" s="5"/>
    </row>
    <row r="679">
      <c r="C679" s="5"/>
    </row>
    <row r="680">
      <c r="C680" s="5"/>
    </row>
    <row r="681">
      <c r="C681" s="5"/>
    </row>
    <row r="682">
      <c r="C682" s="5"/>
    </row>
    <row r="683">
      <c r="C683" s="5"/>
    </row>
    <row r="684">
      <c r="C684" s="5"/>
    </row>
    <row r="685">
      <c r="C685" s="5"/>
    </row>
    <row r="686">
      <c r="C686" s="5"/>
    </row>
    <row r="687">
      <c r="C687" s="5"/>
    </row>
    <row r="688">
      <c r="C688" s="5"/>
    </row>
    <row r="689">
      <c r="C689" s="5"/>
    </row>
    <row r="690">
      <c r="C690" s="5"/>
    </row>
    <row r="691">
      <c r="C691" s="5"/>
    </row>
    <row r="692">
      <c r="C692" s="5"/>
    </row>
    <row r="693">
      <c r="C693" s="5"/>
    </row>
    <row r="694">
      <c r="C694" s="5"/>
    </row>
    <row r="695">
      <c r="C695" s="5"/>
    </row>
    <row r="696">
      <c r="C696" s="5"/>
    </row>
    <row r="697">
      <c r="C697" s="5"/>
    </row>
    <row r="698">
      <c r="C698" s="5"/>
    </row>
    <row r="699">
      <c r="C699" s="5"/>
    </row>
    <row r="700">
      <c r="C700" s="5"/>
    </row>
    <row r="701">
      <c r="C701" s="5"/>
    </row>
    <row r="702">
      <c r="C702" s="5"/>
    </row>
    <row r="703">
      <c r="C703" s="5"/>
    </row>
    <row r="704">
      <c r="C704" s="5"/>
    </row>
    <row r="705">
      <c r="C705" s="5"/>
    </row>
    <row r="706">
      <c r="C706" s="5"/>
    </row>
    <row r="707">
      <c r="C707" s="5"/>
    </row>
    <row r="708">
      <c r="C708" s="5"/>
    </row>
    <row r="709">
      <c r="C709" s="5"/>
    </row>
    <row r="710">
      <c r="C710" s="5"/>
    </row>
    <row r="711">
      <c r="C711" s="5"/>
    </row>
    <row r="712">
      <c r="C712" s="5"/>
    </row>
    <row r="713">
      <c r="C713" s="5"/>
    </row>
    <row r="714">
      <c r="C714" s="5"/>
    </row>
    <row r="715">
      <c r="C715" s="5"/>
    </row>
    <row r="716">
      <c r="C716" s="5"/>
    </row>
    <row r="717">
      <c r="C717" s="5"/>
    </row>
    <row r="718">
      <c r="C718" s="5"/>
    </row>
    <row r="719">
      <c r="C719" s="5"/>
    </row>
    <row r="720">
      <c r="C720" s="5"/>
    </row>
    <row r="721">
      <c r="C721" s="5"/>
    </row>
    <row r="722">
      <c r="C722" s="5"/>
    </row>
    <row r="723">
      <c r="C723" s="5"/>
    </row>
    <row r="724">
      <c r="C724" s="5"/>
    </row>
    <row r="725">
      <c r="C725" s="5"/>
    </row>
    <row r="726">
      <c r="C726" s="5"/>
    </row>
    <row r="727">
      <c r="C727" s="5"/>
    </row>
    <row r="728">
      <c r="C728" s="5"/>
    </row>
    <row r="729">
      <c r="C729" s="5"/>
    </row>
    <row r="730">
      <c r="C730" s="5"/>
    </row>
    <row r="731">
      <c r="C731" s="5"/>
    </row>
    <row r="732">
      <c r="C732" s="5"/>
    </row>
    <row r="733">
      <c r="C733" s="5"/>
    </row>
    <row r="734">
      <c r="C734" s="5"/>
    </row>
    <row r="735">
      <c r="C735" s="5"/>
    </row>
    <row r="736">
      <c r="C736" s="5"/>
    </row>
    <row r="737">
      <c r="C737" s="5"/>
    </row>
    <row r="738">
      <c r="C738" s="5"/>
    </row>
    <row r="739">
      <c r="C739" s="5"/>
    </row>
    <row r="740">
      <c r="C740" s="5"/>
    </row>
    <row r="741">
      <c r="C741" s="5"/>
    </row>
    <row r="742">
      <c r="C742" s="5"/>
    </row>
    <row r="743">
      <c r="C743" s="5"/>
    </row>
    <row r="744">
      <c r="C744" s="5"/>
    </row>
    <row r="745">
      <c r="C745" s="5"/>
    </row>
    <row r="746">
      <c r="C746" s="5"/>
    </row>
    <row r="747">
      <c r="C747" s="5"/>
    </row>
    <row r="748">
      <c r="C748" s="5"/>
    </row>
    <row r="749">
      <c r="C749" s="5"/>
    </row>
    <row r="750">
      <c r="C750" s="5"/>
    </row>
    <row r="751">
      <c r="C751" s="5"/>
    </row>
    <row r="752">
      <c r="C752" s="5"/>
    </row>
    <row r="753">
      <c r="C753" s="5"/>
    </row>
    <row r="754">
      <c r="C754" s="5"/>
    </row>
    <row r="755">
      <c r="C755" s="5"/>
    </row>
    <row r="756">
      <c r="C756" s="5"/>
    </row>
    <row r="757">
      <c r="C757" s="5"/>
    </row>
    <row r="758">
      <c r="C758" s="5"/>
    </row>
    <row r="759">
      <c r="C759" s="5"/>
    </row>
    <row r="760">
      <c r="C760" s="5"/>
    </row>
    <row r="761">
      <c r="C761" s="5"/>
    </row>
    <row r="762">
      <c r="C762" s="5"/>
    </row>
    <row r="763">
      <c r="C763" s="5"/>
    </row>
    <row r="764">
      <c r="C764" s="5"/>
    </row>
    <row r="765">
      <c r="C765" s="5"/>
    </row>
    <row r="766">
      <c r="C766" s="5"/>
    </row>
    <row r="767">
      <c r="C767" s="5"/>
    </row>
    <row r="768">
      <c r="C768" s="5"/>
    </row>
    <row r="769">
      <c r="C769" s="5"/>
    </row>
    <row r="770">
      <c r="C770" s="5"/>
    </row>
    <row r="771">
      <c r="C771" s="5"/>
    </row>
    <row r="772">
      <c r="C772" s="5"/>
    </row>
    <row r="773">
      <c r="C773" s="5"/>
    </row>
    <row r="774">
      <c r="C774" s="5"/>
    </row>
    <row r="775">
      <c r="C775" s="5"/>
    </row>
    <row r="776">
      <c r="C776" s="5"/>
    </row>
    <row r="777">
      <c r="C777" s="5"/>
    </row>
    <row r="778">
      <c r="C778" s="5"/>
    </row>
    <row r="779">
      <c r="C779" s="5"/>
    </row>
    <row r="780">
      <c r="C780" s="5"/>
    </row>
    <row r="781">
      <c r="C781" s="5"/>
    </row>
    <row r="782">
      <c r="C782" s="5"/>
    </row>
    <row r="783">
      <c r="C783" s="5"/>
    </row>
    <row r="784">
      <c r="C784" s="5"/>
    </row>
    <row r="785">
      <c r="C785" s="5"/>
    </row>
    <row r="786">
      <c r="C786" s="5"/>
    </row>
    <row r="787">
      <c r="C787" s="5"/>
    </row>
    <row r="788">
      <c r="C788" s="5"/>
    </row>
    <row r="789">
      <c r="C789" s="5"/>
    </row>
    <row r="790">
      <c r="C790" s="5"/>
    </row>
    <row r="791">
      <c r="C791" s="5"/>
    </row>
    <row r="792">
      <c r="C792" s="5"/>
    </row>
    <row r="793">
      <c r="C793" s="5"/>
    </row>
    <row r="794">
      <c r="C794" s="5"/>
    </row>
    <row r="795">
      <c r="C795" s="5"/>
    </row>
    <row r="796">
      <c r="C796" s="5"/>
    </row>
    <row r="797">
      <c r="C797" s="5"/>
    </row>
    <row r="798">
      <c r="C798" s="5"/>
    </row>
    <row r="799">
      <c r="C799" s="5"/>
    </row>
    <row r="800">
      <c r="C800" s="5"/>
    </row>
    <row r="801">
      <c r="C801" s="5"/>
    </row>
    <row r="802">
      <c r="C802" s="5"/>
    </row>
    <row r="803">
      <c r="C803" s="5"/>
    </row>
    <row r="804">
      <c r="C804" s="5"/>
    </row>
    <row r="805">
      <c r="C805" s="5"/>
    </row>
    <row r="806">
      <c r="C806" s="5"/>
    </row>
    <row r="807">
      <c r="C807" s="5"/>
    </row>
    <row r="808">
      <c r="C808" s="5"/>
    </row>
    <row r="809">
      <c r="C809" s="5"/>
    </row>
    <row r="810">
      <c r="C810" s="5"/>
    </row>
    <row r="811">
      <c r="C811" s="5"/>
    </row>
    <row r="812">
      <c r="C812" s="5"/>
    </row>
    <row r="813">
      <c r="C813" s="5"/>
    </row>
    <row r="814">
      <c r="C814" s="5"/>
    </row>
    <row r="815">
      <c r="C815" s="5"/>
    </row>
    <row r="816">
      <c r="C816" s="5"/>
    </row>
    <row r="817">
      <c r="C817" s="5"/>
    </row>
    <row r="818">
      <c r="C818" s="5"/>
    </row>
    <row r="819">
      <c r="C819" s="5"/>
    </row>
    <row r="820">
      <c r="C820" s="5"/>
    </row>
    <row r="821">
      <c r="C821" s="5"/>
    </row>
    <row r="822">
      <c r="C822" s="5"/>
    </row>
    <row r="823">
      <c r="C823" s="5"/>
    </row>
    <row r="824">
      <c r="C824" s="5"/>
    </row>
    <row r="825">
      <c r="C825" s="5"/>
    </row>
    <row r="826">
      <c r="C826" s="5"/>
    </row>
    <row r="827">
      <c r="C827" s="5"/>
    </row>
    <row r="828">
      <c r="C828" s="5"/>
    </row>
    <row r="829">
      <c r="C829" s="5"/>
    </row>
    <row r="830">
      <c r="C830" s="5"/>
    </row>
    <row r="831">
      <c r="C831" s="5"/>
    </row>
    <row r="832">
      <c r="C832" s="5"/>
    </row>
    <row r="833">
      <c r="C833" s="5"/>
    </row>
    <row r="834">
      <c r="C834" s="5"/>
    </row>
    <row r="835">
      <c r="C835" s="5"/>
    </row>
    <row r="836">
      <c r="C836" s="5"/>
    </row>
    <row r="837">
      <c r="C837" s="5"/>
    </row>
    <row r="838">
      <c r="C838" s="5"/>
    </row>
    <row r="839">
      <c r="C839" s="5"/>
    </row>
    <row r="840">
      <c r="C840" s="5"/>
    </row>
    <row r="841">
      <c r="C841" s="5"/>
    </row>
    <row r="842">
      <c r="C842" s="5"/>
    </row>
    <row r="843">
      <c r="C843" s="5"/>
    </row>
    <row r="844">
      <c r="C844" s="5"/>
    </row>
    <row r="845">
      <c r="C845" s="5"/>
    </row>
    <row r="846">
      <c r="C846" s="5"/>
    </row>
    <row r="847">
      <c r="C847" s="5"/>
    </row>
    <row r="848">
      <c r="C848" s="5"/>
    </row>
    <row r="849">
      <c r="C849" s="5"/>
    </row>
    <row r="850">
      <c r="C850" s="5"/>
    </row>
    <row r="851">
      <c r="C851" s="5"/>
    </row>
    <row r="852">
      <c r="C852" s="5"/>
    </row>
    <row r="853">
      <c r="C853" s="5"/>
    </row>
    <row r="854">
      <c r="C854" s="5"/>
    </row>
    <row r="855">
      <c r="C855" s="5"/>
    </row>
    <row r="856">
      <c r="C856" s="5"/>
    </row>
    <row r="857">
      <c r="C857" s="5"/>
    </row>
    <row r="858">
      <c r="C858" s="5"/>
    </row>
    <row r="859">
      <c r="C859" s="5"/>
    </row>
    <row r="860">
      <c r="C860" s="5"/>
    </row>
    <row r="861">
      <c r="C861" s="5"/>
    </row>
    <row r="862">
      <c r="C862" s="5"/>
    </row>
    <row r="863">
      <c r="C863" s="5"/>
    </row>
    <row r="864">
      <c r="C864" s="5"/>
    </row>
    <row r="865">
      <c r="C865" s="5"/>
    </row>
    <row r="866">
      <c r="C866" s="5"/>
    </row>
    <row r="867">
      <c r="C867" s="5"/>
    </row>
    <row r="868">
      <c r="C868" s="5"/>
    </row>
    <row r="869">
      <c r="C869" s="5"/>
    </row>
    <row r="870">
      <c r="C870" s="5"/>
    </row>
    <row r="871">
      <c r="C871" s="5"/>
    </row>
    <row r="872">
      <c r="C872" s="5"/>
    </row>
    <row r="873">
      <c r="C873" s="5"/>
    </row>
    <row r="874">
      <c r="C874" s="5"/>
    </row>
    <row r="875">
      <c r="C875" s="5"/>
    </row>
    <row r="876">
      <c r="C876" s="5"/>
    </row>
    <row r="877">
      <c r="C877" s="5"/>
    </row>
    <row r="878">
      <c r="C878" s="5"/>
    </row>
    <row r="879">
      <c r="C879" s="5"/>
    </row>
    <row r="880">
      <c r="C880" s="5"/>
    </row>
    <row r="881">
      <c r="C881" s="5"/>
    </row>
    <row r="882">
      <c r="C882" s="5"/>
    </row>
    <row r="883">
      <c r="C883" s="5"/>
    </row>
    <row r="884">
      <c r="C884" s="5"/>
    </row>
    <row r="885">
      <c r="C885" s="5"/>
    </row>
    <row r="886">
      <c r="C886" s="5"/>
    </row>
    <row r="887">
      <c r="C887" s="5"/>
    </row>
    <row r="888">
      <c r="C888" s="5"/>
    </row>
    <row r="889">
      <c r="C889" s="5"/>
    </row>
    <row r="890">
      <c r="C890" s="5"/>
    </row>
    <row r="891">
      <c r="C891" s="5"/>
    </row>
    <row r="892">
      <c r="C892" s="5"/>
    </row>
    <row r="893">
      <c r="C893" s="5"/>
    </row>
    <row r="894">
      <c r="C894" s="5"/>
    </row>
    <row r="895">
      <c r="C895" s="5"/>
    </row>
    <row r="896">
      <c r="C896" s="5"/>
    </row>
    <row r="897">
      <c r="C897" s="5"/>
    </row>
    <row r="898">
      <c r="C898" s="5"/>
    </row>
    <row r="899">
      <c r="C899" s="5"/>
    </row>
    <row r="900">
      <c r="C900" s="5"/>
    </row>
    <row r="901">
      <c r="C901" s="5"/>
    </row>
    <row r="902">
      <c r="C902" s="5"/>
    </row>
    <row r="903">
      <c r="C903" s="5"/>
    </row>
    <row r="904">
      <c r="C904" s="5"/>
    </row>
    <row r="905">
      <c r="C905" s="5"/>
    </row>
    <row r="906">
      <c r="C906" s="5"/>
    </row>
    <row r="907">
      <c r="C907" s="5"/>
    </row>
    <row r="908">
      <c r="C908" s="5"/>
    </row>
    <row r="909">
      <c r="C909" s="5"/>
    </row>
    <row r="910">
      <c r="C910" s="5"/>
    </row>
    <row r="911">
      <c r="C911" s="5"/>
    </row>
    <row r="912">
      <c r="C912" s="5"/>
    </row>
    <row r="913">
      <c r="C913" s="5"/>
    </row>
    <row r="914">
      <c r="C914" s="5"/>
    </row>
    <row r="915">
      <c r="C915" s="5"/>
    </row>
    <row r="916">
      <c r="C916" s="5"/>
    </row>
    <row r="917">
      <c r="C917" s="5"/>
    </row>
    <row r="918">
      <c r="C918" s="5"/>
    </row>
    <row r="919">
      <c r="C919" s="5"/>
    </row>
    <row r="920">
      <c r="C920" s="5"/>
    </row>
    <row r="921">
      <c r="C921" s="5"/>
    </row>
    <row r="922">
      <c r="C922" s="5"/>
    </row>
    <row r="923">
      <c r="C923" s="5"/>
    </row>
    <row r="924">
      <c r="C924" s="5"/>
    </row>
    <row r="925">
      <c r="C925" s="5"/>
    </row>
    <row r="926">
      <c r="C926" s="5"/>
    </row>
    <row r="927">
      <c r="C927" s="5"/>
    </row>
    <row r="928">
      <c r="C928" s="5"/>
    </row>
    <row r="929">
      <c r="C929" s="5"/>
    </row>
    <row r="930">
      <c r="C930" s="5"/>
    </row>
    <row r="931">
      <c r="C931" s="5"/>
    </row>
    <row r="932">
      <c r="C932" s="5"/>
    </row>
    <row r="933">
      <c r="C933" s="5"/>
    </row>
    <row r="934">
      <c r="C934" s="5"/>
    </row>
  </sheetData>
  <autoFilter ref="$A$1:$Y$934">
    <sortState ref="A1:Y934">
      <sortCondition ref="A1:A934"/>
      <sortCondition ref="D1:D934"/>
    </sortState>
  </autoFilter>
  <dataValidations>
    <dataValidation type="list" allowBlank="1" showErrorMessage="1" sqref="D128 D146:D159 D161 D163:D165 D168:D173 D176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BEAUTY,TRAVEL,MOBILE,ALCOHOL,CANNABIS,GIFTS,NEWSPAPERS,ENTERTAINMENT,PAYMENT,INTERNET,RELIANCE,CANNA"&amp;"BIS,CLOTHING,VET BILL"</formula1>
    </dataValidation>
    <dataValidation type="list" allowBlank="1" showErrorMessage="1" sqref="D2:D127 D129:D145 D160 D162 D166:D167 D174:D175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EXPENSES"</formula1>
    </dataValidation>
  </dataValidations>
  <hyperlinks>
    <hyperlink r:id="rId2" ref="B13"/>
    <hyperlink r:id="rId3" ref="B96"/>
    <hyperlink r:id="rId4" ref="B120"/>
    <hyperlink r:id="rId5" ref="B121"/>
    <hyperlink r:id="rId6" ref="B135"/>
    <hyperlink r:id="rId7" ref="B139"/>
    <hyperlink r:id="rId8" ref="B161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31">
        <v>45778.0</v>
      </c>
      <c r="B2" s="6" t="s">
        <v>185</v>
      </c>
      <c r="C2" s="4">
        <v>34.62</v>
      </c>
      <c r="D2" s="9" t="s">
        <v>131</v>
      </c>
    </row>
    <row r="3">
      <c r="A3" s="31">
        <v>45778.0</v>
      </c>
      <c r="B3" s="6" t="s">
        <v>206</v>
      </c>
      <c r="C3" s="4">
        <v>3.1</v>
      </c>
      <c r="D3" s="9" t="s">
        <v>164</v>
      </c>
    </row>
    <row r="4">
      <c r="A4" s="31">
        <v>45778.0</v>
      </c>
      <c r="B4" s="6" t="s">
        <v>385</v>
      </c>
      <c r="C4" s="4">
        <v>56.5</v>
      </c>
      <c r="D4" s="9" t="s">
        <v>326</v>
      </c>
    </row>
    <row r="5">
      <c r="A5" s="31">
        <v>45779.0</v>
      </c>
      <c r="B5" s="6" t="s">
        <v>397</v>
      </c>
      <c r="C5" s="4">
        <v>199.33</v>
      </c>
      <c r="D5" s="9" t="s">
        <v>112</v>
      </c>
    </row>
    <row r="6">
      <c r="A6" s="31">
        <v>45779.0</v>
      </c>
      <c r="B6" s="26" t="s">
        <v>142</v>
      </c>
      <c r="C6" s="4">
        <v>3.38</v>
      </c>
      <c r="D6" s="9" t="s">
        <v>164</v>
      </c>
    </row>
    <row r="7">
      <c r="A7" s="31">
        <v>45779.0</v>
      </c>
      <c r="B7" s="6" t="s">
        <v>398</v>
      </c>
      <c r="C7" s="4">
        <v>50.0</v>
      </c>
      <c r="D7" s="9" t="s">
        <v>123</v>
      </c>
    </row>
    <row r="8">
      <c r="A8" s="31">
        <v>45779.0</v>
      </c>
      <c r="B8" s="6" t="s">
        <v>379</v>
      </c>
      <c r="C8" s="4">
        <v>423.75</v>
      </c>
      <c r="D8" s="9" t="s">
        <v>147</v>
      </c>
    </row>
    <row r="9">
      <c r="A9" s="31">
        <v>45779.0</v>
      </c>
      <c r="B9" s="6" t="s">
        <v>140</v>
      </c>
      <c r="C9" s="4">
        <v>134.23</v>
      </c>
      <c r="D9" s="9" t="s">
        <v>141</v>
      </c>
    </row>
    <row r="10">
      <c r="A10" s="31">
        <v>45780.0</v>
      </c>
      <c r="B10" s="6" t="s">
        <v>399</v>
      </c>
      <c r="C10" s="4">
        <v>52.18</v>
      </c>
      <c r="D10" s="9" t="s">
        <v>268</v>
      </c>
    </row>
    <row r="11">
      <c r="A11" s="31">
        <v>45780.0</v>
      </c>
      <c r="B11" s="6" t="s">
        <v>269</v>
      </c>
      <c r="C11" s="4">
        <v>-17.0</v>
      </c>
      <c r="D11" s="9" t="s">
        <v>128</v>
      </c>
    </row>
    <row r="12">
      <c r="A12" s="31">
        <v>45780.0</v>
      </c>
      <c r="B12" s="6" t="s">
        <v>245</v>
      </c>
      <c r="C12" s="4">
        <v>282.9</v>
      </c>
      <c r="D12" s="9" t="s">
        <v>230</v>
      </c>
    </row>
    <row r="13">
      <c r="A13" s="31">
        <v>45780.0</v>
      </c>
      <c r="B13" s="6" t="s">
        <v>200</v>
      </c>
      <c r="C13" s="4">
        <v>21.09</v>
      </c>
      <c r="D13" s="9" t="s">
        <v>134</v>
      </c>
    </row>
    <row r="14">
      <c r="A14" s="31">
        <v>45780.0</v>
      </c>
      <c r="B14" s="6" t="s">
        <v>221</v>
      </c>
      <c r="C14" s="4">
        <v>28.93</v>
      </c>
      <c r="D14" s="9" t="s">
        <v>135</v>
      </c>
    </row>
    <row r="15">
      <c r="A15" s="31">
        <v>45781.0</v>
      </c>
      <c r="B15" s="6" t="s">
        <v>400</v>
      </c>
      <c r="C15" s="4">
        <v>230.99</v>
      </c>
      <c r="D15" s="9" t="s">
        <v>220</v>
      </c>
    </row>
    <row r="16">
      <c r="A16" s="31">
        <v>45781.0</v>
      </c>
      <c r="B16" s="6" t="s">
        <v>401</v>
      </c>
      <c r="C16" s="4">
        <v>24.4</v>
      </c>
      <c r="D16" s="9" t="s">
        <v>139</v>
      </c>
    </row>
    <row r="17">
      <c r="A17" s="31">
        <v>45781.0</v>
      </c>
      <c r="B17" s="6" t="s">
        <v>117</v>
      </c>
      <c r="C17" s="4">
        <v>149.5</v>
      </c>
      <c r="D17" s="9" t="s">
        <v>110</v>
      </c>
    </row>
    <row r="18">
      <c r="A18" s="31">
        <v>45781.0</v>
      </c>
      <c r="B18" s="6" t="s">
        <v>369</v>
      </c>
      <c r="C18" s="4">
        <v>29.0</v>
      </c>
      <c r="D18" s="9" t="s">
        <v>134</v>
      </c>
    </row>
    <row r="19">
      <c r="A19" s="31">
        <v>45781.0</v>
      </c>
      <c r="B19" s="6" t="s">
        <v>229</v>
      </c>
      <c r="C19" s="4">
        <v>50.17</v>
      </c>
      <c r="D19" s="9" t="s">
        <v>134</v>
      </c>
    </row>
    <row r="20">
      <c r="A20" s="31">
        <v>45781.0</v>
      </c>
      <c r="B20" s="6" t="s">
        <v>402</v>
      </c>
      <c r="C20" s="4">
        <v>75.0</v>
      </c>
      <c r="D20" s="9" t="s">
        <v>123</v>
      </c>
    </row>
    <row r="21">
      <c r="A21" s="31">
        <v>45781.0</v>
      </c>
      <c r="B21" s="6" t="s">
        <v>221</v>
      </c>
      <c r="C21" s="4">
        <v>11.3</v>
      </c>
      <c r="D21" s="9" t="s">
        <v>135</v>
      </c>
    </row>
    <row r="22">
      <c r="A22" s="31">
        <v>45782.0</v>
      </c>
      <c r="B22" s="6" t="s">
        <v>403</v>
      </c>
      <c r="C22" s="4">
        <v>26.23</v>
      </c>
      <c r="D22" s="9" t="s">
        <v>135</v>
      </c>
    </row>
    <row r="23">
      <c r="A23" s="31">
        <v>45782.0</v>
      </c>
      <c r="B23" s="6" t="s">
        <v>404</v>
      </c>
      <c r="C23" s="4">
        <v>16.0</v>
      </c>
      <c r="D23" s="9" t="s">
        <v>164</v>
      </c>
    </row>
    <row r="24">
      <c r="A24" s="31">
        <v>45782.0</v>
      </c>
      <c r="B24" s="26" t="s">
        <v>142</v>
      </c>
      <c r="C24" s="4">
        <v>10.16</v>
      </c>
      <c r="D24" s="9" t="s">
        <v>124</v>
      </c>
    </row>
    <row r="25">
      <c r="A25" s="31">
        <v>45782.0</v>
      </c>
      <c r="B25" s="32" t="s">
        <v>235</v>
      </c>
      <c r="C25" s="4">
        <v>39.89</v>
      </c>
      <c r="D25" s="9" t="s">
        <v>134</v>
      </c>
    </row>
    <row r="26">
      <c r="A26" s="31">
        <v>45782.0</v>
      </c>
      <c r="B26" s="32" t="s">
        <v>150</v>
      </c>
      <c r="C26" s="4">
        <v>15.0</v>
      </c>
      <c r="D26" s="9" t="s">
        <v>135</v>
      </c>
    </row>
    <row r="27">
      <c r="A27" s="31">
        <v>45783.0</v>
      </c>
      <c r="B27" s="6" t="s">
        <v>185</v>
      </c>
      <c r="C27" s="4">
        <v>28.97</v>
      </c>
      <c r="D27" s="9" t="s">
        <v>131</v>
      </c>
    </row>
    <row r="28">
      <c r="A28" s="31">
        <v>45784.0</v>
      </c>
      <c r="B28" s="6" t="s">
        <v>405</v>
      </c>
      <c r="C28" s="4">
        <v>302.47</v>
      </c>
      <c r="D28" s="9" t="s">
        <v>268</v>
      </c>
    </row>
    <row r="29">
      <c r="A29" s="31">
        <v>45784.0</v>
      </c>
      <c r="B29" s="6" t="s">
        <v>125</v>
      </c>
      <c r="C29" s="4">
        <v>11.29</v>
      </c>
      <c r="D29" s="9" t="s">
        <v>126</v>
      </c>
    </row>
    <row r="30">
      <c r="A30" s="31">
        <v>45785.0</v>
      </c>
      <c r="B30" s="6" t="s">
        <v>277</v>
      </c>
      <c r="C30" s="4">
        <v>50.0</v>
      </c>
      <c r="D30" s="9" t="s">
        <v>132</v>
      </c>
    </row>
    <row r="31">
      <c r="A31" s="31">
        <v>45785.0</v>
      </c>
      <c r="B31" s="6" t="s">
        <v>185</v>
      </c>
      <c r="C31" s="4">
        <v>28.97</v>
      </c>
      <c r="D31" s="9" t="s">
        <v>131</v>
      </c>
    </row>
    <row r="32">
      <c r="A32" s="31">
        <v>45785.0</v>
      </c>
      <c r="B32" s="6" t="s">
        <v>406</v>
      </c>
      <c r="C32" s="4">
        <v>20.34</v>
      </c>
      <c r="D32" s="9" t="s">
        <v>268</v>
      </c>
    </row>
    <row r="33">
      <c r="A33" s="31">
        <v>45785.0</v>
      </c>
      <c r="B33" s="6" t="s">
        <v>406</v>
      </c>
      <c r="C33" s="4">
        <v>30.08</v>
      </c>
      <c r="D33" s="9" t="s">
        <v>268</v>
      </c>
    </row>
    <row r="34">
      <c r="A34" s="31">
        <v>45785.0</v>
      </c>
      <c r="B34" s="6" t="s">
        <v>407</v>
      </c>
      <c r="C34" s="4">
        <v>32.75</v>
      </c>
      <c r="D34" s="9" t="s">
        <v>134</v>
      </c>
    </row>
    <row r="35">
      <c r="A35" s="31">
        <v>45785.0</v>
      </c>
      <c r="B35" s="6" t="s">
        <v>115</v>
      </c>
      <c r="C35" s="4">
        <v>88.97</v>
      </c>
      <c r="D35" s="9" t="s">
        <v>116</v>
      </c>
    </row>
    <row r="36">
      <c r="A36" s="31">
        <v>45786.0</v>
      </c>
      <c r="B36" s="6" t="s">
        <v>125</v>
      </c>
      <c r="C36" s="4">
        <v>5.64</v>
      </c>
      <c r="D36" s="9" t="s">
        <v>126</v>
      </c>
    </row>
    <row r="37">
      <c r="A37" s="31">
        <v>45786.0</v>
      </c>
      <c r="B37" s="6" t="s">
        <v>125</v>
      </c>
      <c r="C37" s="4">
        <v>11.29</v>
      </c>
      <c r="D37" s="9" t="s">
        <v>126</v>
      </c>
    </row>
    <row r="38">
      <c r="A38" s="31">
        <v>45786.0</v>
      </c>
      <c r="B38" s="6" t="s">
        <v>408</v>
      </c>
      <c r="C38" s="4">
        <v>47.23</v>
      </c>
      <c r="D38" s="9" t="s">
        <v>134</v>
      </c>
    </row>
    <row r="39">
      <c r="A39" s="31">
        <v>45786.0</v>
      </c>
      <c r="B39" s="6" t="s">
        <v>179</v>
      </c>
      <c r="C39" s="4">
        <v>11.29</v>
      </c>
      <c r="D39" s="9" t="s">
        <v>155</v>
      </c>
    </row>
    <row r="40">
      <c r="A40" s="31">
        <v>45787.0</v>
      </c>
      <c r="B40" s="6" t="s">
        <v>409</v>
      </c>
      <c r="C40" s="4">
        <v>193.84</v>
      </c>
      <c r="D40" s="9" t="s">
        <v>112</v>
      </c>
    </row>
    <row r="41">
      <c r="A41" s="31">
        <v>45787.0</v>
      </c>
      <c r="B41" s="6" t="s">
        <v>318</v>
      </c>
      <c r="C41" s="4">
        <v>117.43</v>
      </c>
      <c r="D41" s="9" t="s">
        <v>147</v>
      </c>
    </row>
    <row r="42">
      <c r="A42" s="31">
        <v>45787.0</v>
      </c>
      <c r="B42" s="6" t="s">
        <v>178</v>
      </c>
      <c r="C42" s="4">
        <v>4.51</v>
      </c>
      <c r="D42" s="9" t="s">
        <v>124</v>
      </c>
    </row>
    <row r="43">
      <c r="A43" s="31">
        <v>45787.0</v>
      </c>
      <c r="B43" s="6" t="s">
        <v>178</v>
      </c>
      <c r="C43" s="4">
        <v>4.51</v>
      </c>
      <c r="D43" s="9" t="s">
        <v>124</v>
      </c>
    </row>
    <row r="44">
      <c r="A44" s="31">
        <v>45787.0</v>
      </c>
      <c r="B44" s="6" t="s">
        <v>233</v>
      </c>
      <c r="C44" s="4">
        <v>107.35</v>
      </c>
      <c r="D44" s="9" t="s">
        <v>158</v>
      </c>
    </row>
    <row r="45">
      <c r="A45" s="31">
        <v>45787.0</v>
      </c>
      <c r="B45" s="6" t="s">
        <v>339</v>
      </c>
      <c r="C45" s="4">
        <v>30.99</v>
      </c>
      <c r="D45" s="9" t="s">
        <v>135</v>
      </c>
    </row>
    <row r="46">
      <c r="A46" s="31">
        <v>45787.0</v>
      </c>
      <c r="B46" s="6" t="s">
        <v>410</v>
      </c>
      <c r="C46" s="4">
        <v>43.22</v>
      </c>
      <c r="D46" s="9" t="s">
        <v>137</v>
      </c>
    </row>
    <row r="47">
      <c r="A47" s="31">
        <v>45787.0</v>
      </c>
      <c r="B47" s="6" t="s">
        <v>411</v>
      </c>
      <c r="C47" s="4">
        <v>11.97</v>
      </c>
      <c r="D47" s="9" t="s">
        <v>134</v>
      </c>
    </row>
    <row r="48">
      <c r="A48" s="31">
        <v>45787.0</v>
      </c>
      <c r="B48" s="6" t="s">
        <v>286</v>
      </c>
      <c r="C48" s="4">
        <v>32.3</v>
      </c>
      <c r="D48" s="9" t="s">
        <v>145</v>
      </c>
    </row>
    <row r="49">
      <c r="A49" s="31">
        <v>45788.0</v>
      </c>
      <c r="B49" s="6" t="s">
        <v>185</v>
      </c>
      <c r="C49" s="4">
        <v>106.17</v>
      </c>
      <c r="D49" s="9" t="s">
        <v>131</v>
      </c>
    </row>
    <row r="50">
      <c r="A50" s="31">
        <v>45788.0</v>
      </c>
      <c r="B50" s="6" t="s">
        <v>318</v>
      </c>
      <c r="C50" s="4">
        <v>-38.4</v>
      </c>
      <c r="D50" s="9" t="s">
        <v>128</v>
      </c>
    </row>
    <row r="51">
      <c r="A51" s="31">
        <v>45788.0</v>
      </c>
      <c r="B51" s="6" t="s">
        <v>318</v>
      </c>
      <c r="C51" s="4">
        <v>48.58</v>
      </c>
      <c r="D51" s="9" t="s">
        <v>147</v>
      </c>
    </row>
    <row r="52">
      <c r="A52" s="31">
        <v>45788.0</v>
      </c>
      <c r="B52" s="6" t="s">
        <v>412</v>
      </c>
      <c r="C52" s="4">
        <v>31.12</v>
      </c>
      <c r="D52" s="9" t="s">
        <v>145</v>
      </c>
    </row>
    <row r="53">
      <c r="A53" s="31">
        <v>45788.0</v>
      </c>
      <c r="B53" s="6" t="s">
        <v>369</v>
      </c>
      <c r="C53" s="4">
        <v>18.89</v>
      </c>
      <c r="D53" s="9" t="s">
        <v>134</v>
      </c>
    </row>
    <row r="54">
      <c r="A54" s="31">
        <v>45788.0</v>
      </c>
      <c r="B54" s="6" t="s">
        <v>150</v>
      </c>
      <c r="C54" s="4">
        <v>25.0</v>
      </c>
      <c r="D54" s="9" t="s">
        <v>135</v>
      </c>
    </row>
    <row r="55">
      <c r="A55" s="31">
        <v>45789.0</v>
      </c>
      <c r="B55" s="6" t="s">
        <v>413</v>
      </c>
      <c r="C55" s="4">
        <v>16.55</v>
      </c>
      <c r="D55" s="9" t="s">
        <v>135</v>
      </c>
    </row>
    <row r="56">
      <c r="A56" s="31">
        <v>45789.0</v>
      </c>
      <c r="B56" s="6" t="s">
        <v>196</v>
      </c>
      <c r="C56" s="4">
        <v>50.63</v>
      </c>
      <c r="D56" s="9" t="s">
        <v>110</v>
      </c>
    </row>
    <row r="57">
      <c r="A57" s="31">
        <v>45789.0</v>
      </c>
      <c r="B57" s="6" t="s">
        <v>128</v>
      </c>
      <c r="C57" s="4">
        <v>-1897.81</v>
      </c>
      <c r="D57" s="9" t="s">
        <v>128</v>
      </c>
    </row>
    <row r="58">
      <c r="A58" s="31">
        <v>45789.0</v>
      </c>
      <c r="B58" s="6" t="s">
        <v>369</v>
      </c>
      <c r="C58" s="4">
        <v>14.5</v>
      </c>
      <c r="D58" s="9" t="s">
        <v>134</v>
      </c>
    </row>
    <row r="59">
      <c r="A59" s="31">
        <v>45790.0</v>
      </c>
      <c r="B59" s="6" t="s">
        <v>185</v>
      </c>
      <c r="C59" s="4">
        <v>28.97</v>
      </c>
      <c r="D59" s="9" t="s">
        <v>131</v>
      </c>
    </row>
    <row r="60">
      <c r="A60" s="31">
        <v>45790.0</v>
      </c>
      <c r="B60" s="6" t="s">
        <v>344</v>
      </c>
      <c r="C60" s="4">
        <v>1462.56</v>
      </c>
      <c r="D60" s="9" t="s">
        <v>164</v>
      </c>
    </row>
    <row r="61">
      <c r="A61" s="31">
        <v>45790.0</v>
      </c>
      <c r="B61" s="6" t="s">
        <v>175</v>
      </c>
      <c r="C61" s="4">
        <v>11.29</v>
      </c>
      <c r="D61" s="9" t="s">
        <v>126</v>
      </c>
    </row>
    <row r="62">
      <c r="A62" s="31">
        <v>45790.0</v>
      </c>
      <c r="B62" s="6" t="s">
        <v>225</v>
      </c>
      <c r="C62" s="4">
        <v>132.65</v>
      </c>
      <c r="D62" s="9" t="s">
        <v>110</v>
      </c>
    </row>
    <row r="63">
      <c r="A63" s="31">
        <v>45790.0</v>
      </c>
      <c r="B63" s="6" t="s">
        <v>414</v>
      </c>
      <c r="C63" s="4">
        <v>300.7</v>
      </c>
      <c r="D63" s="9" t="s">
        <v>110</v>
      </c>
    </row>
    <row r="64">
      <c r="A64" s="31">
        <v>45791.0</v>
      </c>
      <c r="B64" s="6" t="s">
        <v>148</v>
      </c>
      <c r="C64" s="4">
        <v>148.2</v>
      </c>
      <c r="D64" s="9" t="s">
        <v>135</v>
      </c>
    </row>
    <row r="65">
      <c r="A65" s="31">
        <v>45791.0</v>
      </c>
      <c r="B65" s="6" t="s">
        <v>415</v>
      </c>
      <c r="C65" s="4">
        <v>21.82</v>
      </c>
      <c r="D65" s="9" t="s">
        <v>123</v>
      </c>
    </row>
    <row r="66">
      <c r="A66" s="31">
        <v>45791.0</v>
      </c>
      <c r="B66" s="6" t="s">
        <v>174</v>
      </c>
      <c r="C66" s="4">
        <v>39.82</v>
      </c>
      <c r="D66" s="9" t="s">
        <v>161</v>
      </c>
    </row>
    <row r="67">
      <c r="A67" s="31">
        <v>45791.0</v>
      </c>
      <c r="B67" s="6" t="s">
        <v>168</v>
      </c>
      <c r="C67" s="4">
        <v>35.22</v>
      </c>
      <c r="D67" s="9" t="s">
        <v>134</v>
      </c>
    </row>
    <row r="68">
      <c r="A68" s="31">
        <v>45791.0</v>
      </c>
      <c r="B68" s="6" t="s">
        <v>162</v>
      </c>
      <c r="C68" s="4">
        <v>194.24</v>
      </c>
      <c r="D68" s="9" t="s">
        <v>147</v>
      </c>
    </row>
    <row r="69">
      <c r="A69" s="31">
        <v>45791.0</v>
      </c>
      <c r="B69" s="6" t="s">
        <v>416</v>
      </c>
      <c r="C69" s="4">
        <v>7.35</v>
      </c>
      <c r="D69" s="9" t="s">
        <v>147</v>
      </c>
    </row>
    <row r="70">
      <c r="A70" s="31">
        <v>45791.0</v>
      </c>
      <c r="B70" s="6" t="s">
        <v>173</v>
      </c>
      <c r="C70" s="4">
        <v>11.29</v>
      </c>
      <c r="D70" s="9" t="s">
        <v>126</v>
      </c>
    </row>
    <row r="71">
      <c r="A71" s="31">
        <v>45792.0</v>
      </c>
      <c r="B71" s="6" t="s">
        <v>185</v>
      </c>
      <c r="C71" s="4">
        <v>28.97</v>
      </c>
      <c r="D71" s="9" t="s">
        <v>131</v>
      </c>
    </row>
    <row r="72">
      <c r="A72" s="31">
        <v>45792.0</v>
      </c>
      <c r="B72" s="6" t="s">
        <v>117</v>
      </c>
      <c r="C72" s="4">
        <v>107.24</v>
      </c>
      <c r="D72" s="9" t="s">
        <v>110</v>
      </c>
    </row>
    <row r="73">
      <c r="A73" s="31">
        <v>45792.0</v>
      </c>
      <c r="B73" s="6" t="s">
        <v>417</v>
      </c>
      <c r="C73" s="4">
        <v>32.79</v>
      </c>
      <c r="D73" s="9" t="s">
        <v>110</v>
      </c>
    </row>
    <row r="74">
      <c r="A74" s="31">
        <v>45792.0</v>
      </c>
      <c r="B74" s="6" t="s">
        <v>125</v>
      </c>
      <c r="C74" s="4">
        <v>4.51</v>
      </c>
      <c r="D74" s="9" t="s">
        <v>126</v>
      </c>
    </row>
    <row r="75">
      <c r="A75" s="31">
        <v>45792.0</v>
      </c>
      <c r="B75" s="6" t="s">
        <v>150</v>
      </c>
      <c r="C75" s="4">
        <v>25.0</v>
      </c>
      <c r="D75" s="9" t="s">
        <v>135</v>
      </c>
    </row>
    <row r="76">
      <c r="A76" s="31">
        <v>45793.0</v>
      </c>
      <c r="B76" s="6" t="s">
        <v>318</v>
      </c>
      <c r="C76" s="4">
        <v>159.28</v>
      </c>
      <c r="D76" s="9" t="s">
        <v>147</v>
      </c>
    </row>
    <row r="77">
      <c r="A77" s="31">
        <v>45793.0</v>
      </c>
      <c r="B77" s="6" t="s">
        <v>418</v>
      </c>
      <c r="C77" s="4">
        <v>67.12</v>
      </c>
      <c r="D77" s="9" t="s">
        <v>134</v>
      </c>
    </row>
    <row r="78">
      <c r="A78" s="31">
        <v>45793.0</v>
      </c>
      <c r="B78" s="6" t="s">
        <v>419</v>
      </c>
      <c r="C78" s="4">
        <v>11.96</v>
      </c>
      <c r="D78" s="9" t="s">
        <v>110</v>
      </c>
    </row>
    <row r="79">
      <c r="A79" s="31">
        <v>45793.0</v>
      </c>
      <c r="B79" s="26" t="s">
        <v>280</v>
      </c>
      <c r="C79" s="4">
        <v>27.11</v>
      </c>
      <c r="D79" s="9" t="s">
        <v>156</v>
      </c>
    </row>
    <row r="80">
      <c r="A80" s="31">
        <v>45794.0</v>
      </c>
      <c r="B80" s="6" t="s">
        <v>117</v>
      </c>
      <c r="C80" s="4">
        <v>17.95</v>
      </c>
      <c r="D80" s="9" t="s">
        <v>110</v>
      </c>
    </row>
    <row r="81">
      <c r="A81" s="31">
        <v>45794.0</v>
      </c>
      <c r="B81" s="6" t="s">
        <v>117</v>
      </c>
      <c r="C81" s="4">
        <v>84.32</v>
      </c>
      <c r="D81" s="9" t="s">
        <v>110</v>
      </c>
    </row>
    <row r="82">
      <c r="A82" s="31">
        <v>45794.0</v>
      </c>
      <c r="B82" s="6" t="s">
        <v>420</v>
      </c>
      <c r="C82" s="4">
        <v>55.78</v>
      </c>
      <c r="D82" s="9" t="s">
        <v>137</v>
      </c>
      <c r="G82" s="5"/>
    </row>
    <row r="83">
      <c r="A83" s="31">
        <v>45794.0</v>
      </c>
      <c r="B83" s="6" t="s">
        <v>160</v>
      </c>
      <c r="C83" s="4">
        <v>93.86</v>
      </c>
      <c r="D83" s="9" t="s">
        <v>153</v>
      </c>
    </row>
    <row r="84">
      <c r="A84" s="31">
        <v>45795.0</v>
      </c>
      <c r="B84" s="6" t="s">
        <v>185</v>
      </c>
      <c r="C84" s="4">
        <v>56.49</v>
      </c>
      <c r="D84" s="9" t="s">
        <v>131</v>
      </c>
    </row>
    <row r="85">
      <c r="A85" s="31">
        <v>45795.0</v>
      </c>
      <c r="B85" s="26" t="s">
        <v>142</v>
      </c>
      <c r="C85" s="4">
        <v>45.19</v>
      </c>
      <c r="D85" s="9" t="s">
        <v>124</v>
      </c>
    </row>
    <row r="86">
      <c r="A86" s="31">
        <v>45795.0</v>
      </c>
      <c r="B86" s="26" t="s">
        <v>142</v>
      </c>
      <c r="C86" s="4">
        <v>14.68</v>
      </c>
      <c r="D86" s="9" t="s">
        <v>124</v>
      </c>
    </row>
    <row r="87">
      <c r="A87" s="31">
        <v>45795.0</v>
      </c>
      <c r="B87" s="32" t="s">
        <v>115</v>
      </c>
      <c r="C87" s="4">
        <v>92.0</v>
      </c>
      <c r="D87" s="9" t="s">
        <v>116</v>
      </c>
    </row>
    <row r="88">
      <c r="A88" s="31">
        <v>45795.0</v>
      </c>
      <c r="B88" s="32" t="s">
        <v>226</v>
      </c>
      <c r="C88" s="4">
        <v>157.6</v>
      </c>
      <c r="D88" s="9" t="s">
        <v>131</v>
      </c>
    </row>
    <row r="89">
      <c r="A89" s="31">
        <v>45796.0</v>
      </c>
      <c r="B89" s="6" t="s">
        <v>151</v>
      </c>
      <c r="C89" s="4">
        <v>45.2</v>
      </c>
      <c r="D89" s="9" t="s">
        <v>152</v>
      </c>
    </row>
    <row r="90">
      <c r="A90" s="31">
        <v>45796.0</v>
      </c>
      <c r="B90" s="6" t="s">
        <v>421</v>
      </c>
      <c r="C90" s="4">
        <v>1146.91</v>
      </c>
      <c r="D90" s="9" t="s">
        <v>145</v>
      </c>
    </row>
    <row r="91">
      <c r="A91" s="31">
        <v>45797.0</v>
      </c>
      <c r="B91" s="6" t="s">
        <v>185</v>
      </c>
      <c r="C91" s="4">
        <v>79.82</v>
      </c>
      <c r="D91" s="9" t="s">
        <v>131</v>
      </c>
    </row>
    <row r="92">
      <c r="A92" s="31">
        <v>45797.0</v>
      </c>
      <c r="B92" s="6" t="s">
        <v>117</v>
      </c>
      <c r="C92" s="4">
        <v>39.53</v>
      </c>
      <c r="D92" s="9" t="s">
        <v>110</v>
      </c>
    </row>
    <row r="93">
      <c r="A93" s="31">
        <v>45797.0</v>
      </c>
      <c r="B93" s="6" t="s">
        <v>269</v>
      </c>
      <c r="C93" s="4">
        <v>17.8</v>
      </c>
      <c r="D93" s="9" t="s">
        <v>110</v>
      </c>
    </row>
    <row r="94">
      <c r="A94" s="31">
        <v>45797.0</v>
      </c>
      <c r="B94" s="6" t="s">
        <v>269</v>
      </c>
      <c r="C94" s="4">
        <v>239.0</v>
      </c>
      <c r="D94" s="9" t="s">
        <v>110</v>
      </c>
    </row>
    <row r="95">
      <c r="A95" s="31">
        <v>45797.0</v>
      </c>
      <c r="B95" s="6" t="s">
        <v>189</v>
      </c>
      <c r="C95" s="4">
        <v>119.99</v>
      </c>
      <c r="D95" s="9" t="s">
        <v>121</v>
      </c>
    </row>
    <row r="96">
      <c r="A96" s="31">
        <v>45797.0</v>
      </c>
      <c r="B96" s="6" t="s">
        <v>422</v>
      </c>
      <c r="C96" s="4">
        <v>0.78</v>
      </c>
      <c r="D96" s="9" t="s">
        <v>145</v>
      </c>
    </row>
    <row r="97">
      <c r="A97" s="31">
        <v>45798.0</v>
      </c>
      <c r="B97" s="6" t="s">
        <v>117</v>
      </c>
      <c r="C97" s="4">
        <v>15.44</v>
      </c>
      <c r="D97" s="9" t="s">
        <v>110</v>
      </c>
    </row>
    <row r="98">
      <c r="A98" s="31">
        <v>45798.0</v>
      </c>
      <c r="B98" s="6" t="s">
        <v>194</v>
      </c>
      <c r="C98" s="4">
        <v>36.11</v>
      </c>
      <c r="D98" s="9" t="s">
        <v>158</v>
      </c>
    </row>
    <row r="99">
      <c r="A99" s="31">
        <v>45798.0</v>
      </c>
      <c r="B99" s="6" t="s">
        <v>115</v>
      </c>
      <c r="C99" s="4">
        <v>18.99</v>
      </c>
      <c r="D99" s="9" t="s">
        <v>116</v>
      </c>
    </row>
    <row r="100">
      <c r="A100" s="31">
        <v>45798.0</v>
      </c>
      <c r="B100" s="6" t="s">
        <v>423</v>
      </c>
      <c r="C100" s="4">
        <v>128.7</v>
      </c>
      <c r="D100" s="9" t="s">
        <v>164</v>
      </c>
    </row>
    <row r="101">
      <c r="A101" s="31">
        <v>45799.0</v>
      </c>
      <c r="B101" s="6" t="s">
        <v>352</v>
      </c>
      <c r="C101" s="4">
        <v>124.68</v>
      </c>
      <c r="D101" s="9" t="s">
        <v>220</v>
      </c>
    </row>
    <row r="102">
      <c r="A102" s="31">
        <v>45799.0</v>
      </c>
      <c r="B102" s="6" t="s">
        <v>185</v>
      </c>
      <c r="C102" s="4">
        <v>28.97</v>
      </c>
      <c r="D102" s="9" t="s">
        <v>131</v>
      </c>
    </row>
    <row r="103">
      <c r="A103" s="31">
        <v>45800.0</v>
      </c>
      <c r="B103" s="6" t="s">
        <v>189</v>
      </c>
      <c r="C103" s="4">
        <v>105.41</v>
      </c>
      <c r="D103" s="9" t="s">
        <v>121</v>
      </c>
    </row>
    <row r="104">
      <c r="A104" s="31">
        <v>45800.0</v>
      </c>
      <c r="B104" s="6" t="s">
        <v>424</v>
      </c>
      <c r="C104" s="4">
        <v>130.97</v>
      </c>
      <c r="D104" s="9" t="s">
        <v>147</v>
      </c>
    </row>
    <row r="105">
      <c r="A105" s="31">
        <v>45801.0</v>
      </c>
      <c r="B105" s="6" t="s">
        <v>113</v>
      </c>
      <c r="C105" s="4">
        <v>20.22</v>
      </c>
      <c r="D105" s="9" t="s">
        <v>114</v>
      </c>
    </row>
    <row r="106">
      <c r="A106" s="31">
        <v>45801.0</v>
      </c>
      <c r="B106" s="6" t="s">
        <v>111</v>
      </c>
      <c r="C106" s="4">
        <v>71.17</v>
      </c>
      <c r="D106" s="9" t="s">
        <v>134</v>
      </c>
    </row>
    <row r="107">
      <c r="A107" s="31">
        <v>45808.0</v>
      </c>
      <c r="B107" s="6" t="s">
        <v>150</v>
      </c>
      <c r="C107" s="4">
        <v>15.0</v>
      </c>
      <c r="D107" s="9" t="s">
        <v>135</v>
      </c>
    </row>
    <row r="108">
      <c r="A108" s="31">
        <v>45807.0</v>
      </c>
      <c r="B108" s="6" t="s">
        <v>125</v>
      </c>
      <c r="C108" s="4">
        <v>7.9</v>
      </c>
      <c r="D108" s="9" t="s">
        <v>126</v>
      </c>
    </row>
    <row r="109">
      <c r="A109" s="31">
        <v>45807.0</v>
      </c>
      <c r="B109" s="6" t="s">
        <v>125</v>
      </c>
      <c r="C109" s="4">
        <v>24.85</v>
      </c>
      <c r="D109" s="9" t="s">
        <v>126</v>
      </c>
    </row>
    <row r="110">
      <c r="A110" s="31">
        <v>45807.0</v>
      </c>
      <c r="B110" s="6" t="s">
        <v>251</v>
      </c>
      <c r="C110" s="4">
        <v>163.79</v>
      </c>
      <c r="D110" s="9" t="s">
        <v>228</v>
      </c>
    </row>
    <row r="111">
      <c r="A111" s="31">
        <v>45807.0</v>
      </c>
      <c r="B111" s="6" t="s">
        <v>251</v>
      </c>
      <c r="C111" s="4">
        <v>211.95</v>
      </c>
      <c r="D111" s="9" t="s">
        <v>228</v>
      </c>
    </row>
    <row r="112">
      <c r="A112" s="31">
        <v>45807.0</v>
      </c>
      <c r="B112" s="6" t="s">
        <v>197</v>
      </c>
      <c r="C112" s="4">
        <v>58.04</v>
      </c>
      <c r="D112" s="9" t="s">
        <v>149</v>
      </c>
    </row>
    <row r="113">
      <c r="A113" s="31">
        <v>45806.0</v>
      </c>
      <c r="B113" s="6" t="s">
        <v>185</v>
      </c>
      <c r="C113" s="4">
        <v>28.97</v>
      </c>
      <c r="D113" s="9" t="s">
        <v>131</v>
      </c>
    </row>
    <row r="114">
      <c r="A114" s="31">
        <v>45806.0</v>
      </c>
      <c r="B114" s="6" t="s">
        <v>117</v>
      </c>
      <c r="C114" s="4">
        <v>9.98</v>
      </c>
      <c r="D114" s="9" t="s">
        <v>110</v>
      </c>
    </row>
    <row r="115">
      <c r="A115" s="31">
        <v>45806.0</v>
      </c>
      <c r="B115" s="6" t="s">
        <v>195</v>
      </c>
      <c r="C115" s="4">
        <v>-7827.88</v>
      </c>
      <c r="D115" s="9" t="s">
        <v>128</v>
      </c>
    </row>
    <row r="116">
      <c r="A116" s="31">
        <v>45805.0</v>
      </c>
      <c r="B116" s="6" t="s">
        <v>425</v>
      </c>
      <c r="C116" s="4">
        <v>13.63</v>
      </c>
      <c r="D116" s="9" t="s">
        <v>135</v>
      </c>
    </row>
    <row r="117">
      <c r="A117" s="31">
        <v>45805.0</v>
      </c>
      <c r="B117" s="6" t="s">
        <v>426</v>
      </c>
      <c r="C117" s="4">
        <v>19.0</v>
      </c>
      <c r="D117" s="9" t="s">
        <v>129</v>
      </c>
    </row>
    <row r="118">
      <c r="A118" s="31">
        <v>45804.0</v>
      </c>
      <c r="B118" s="6" t="s">
        <v>125</v>
      </c>
      <c r="C118" s="4">
        <v>16.94</v>
      </c>
      <c r="D118" s="9" t="s">
        <v>126</v>
      </c>
    </row>
    <row r="119">
      <c r="A119" s="31">
        <v>45804.0</v>
      </c>
      <c r="B119" s="6" t="s">
        <v>185</v>
      </c>
      <c r="C119" s="4">
        <v>28.97</v>
      </c>
      <c r="D119" s="9" t="s">
        <v>131</v>
      </c>
    </row>
    <row r="120">
      <c r="A120" s="31">
        <v>45804.0</v>
      </c>
      <c r="B120" s="6" t="s">
        <v>209</v>
      </c>
      <c r="C120" s="4">
        <v>23.72</v>
      </c>
      <c r="D120" s="9" t="s">
        <v>139</v>
      </c>
    </row>
    <row r="121">
      <c r="A121" s="31">
        <v>45804.0</v>
      </c>
      <c r="B121" s="6" t="s">
        <v>354</v>
      </c>
      <c r="C121" s="4">
        <v>24.0</v>
      </c>
      <c r="D121" s="9" t="s">
        <v>268</v>
      </c>
    </row>
    <row r="122">
      <c r="A122" s="31">
        <v>45804.0</v>
      </c>
      <c r="B122" s="6" t="s">
        <v>417</v>
      </c>
      <c r="C122" s="4">
        <v>35.99</v>
      </c>
      <c r="D122" s="9" t="s">
        <v>110</v>
      </c>
    </row>
    <row r="123">
      <c r="A123" s="31">
        <v>45804.0</v>
      </c>
      <c r="B123" s="6" t="s">
        <v>225</v>
      </c>
      <c r="C123" s="4">
        <v>50.12</v>
      </c>
      <c r="D123" s="9" t="s">
        <v>110</v>
      </c>
    </row>
    <row r="124">
      <c r="A124" s="31">
        <v>45804.0</v>
      </c>
      <c r="B124" s="6" t="s">
        <v>225</v>
      </c>
      <c r="C124" s="4">
        <v>1.5</v>
      </c>
      <c r="D124" s="9" t="s">
        <v>110</v>
      </c>
    </row>
    <row r="125">
      <c r="A125" s="31">
        <v>45804.0</v>
      </c>
      <c r="B125" s="6" t="s">
        <v>115</v>
      </c>
      <c r="C125" s="4">
        <v>65.2</v>
      </c>
      <c r="D125" s="9" t="s">
        <v>116</v>
      </c>
    </row>
    <row r="126">
      <c r="A126" s="31">
        <v>45804.0</v>
      </c>
      <c r="B126" s="6" t="s">
        <v>226</v>
      </c>
      <c r="C126" s="4">
        <v>321.45</v>
      </c>
      <c r="D126" s="9" t="s">
        <v>121</v>
      </c>
    </row>
    <row r="127">
      <c r="A127" s="31">
        <v>45804.0</v>
      </c>
      <c r="B127" s="6" t="s">
        <v>207</v>
      </c>
      <c r="C127" s="4">
        <v>14.68</v>
      </c>
      <c r="D127" s="9" t="s">
        <v>166</v>
      </c>
    </row>
    <row r="128">
      <c r="A128" s="31">
        <v>45803.0</v>
      </c>
      <c r="B128" s="6" t="s">
        <v>368</v>
      </c>
      <c r="C128" s="4">
        <v>3577.51</v>
      </c>
      <c r="D128" s="9" t="s">
        <v>164</v>
      </c>
    </row>
    <row r="129">
      <c r="A129" s="31">
        <v>45803.0</v>
      </c>
      <c r="B129" s="6" t="s">
        <v>213</v>
      </c>
      <c r="C129" s="4">
        <v>-7.54</v>
      </c>
      <c r="D129" s="9" t="s">
        <v>128</v>
      </c>
    </row>
    <row r="130">
      <c r="A130" s="31">
        <v>45802.0</v>
      </c>
      <c r="B130" s="6" t="s">
        <v>178</v>
      </c>
      <c r="C130" s="4">
        <v>28.24</v>
      </c>
      <c r="D130" s="9" t="s">
        <v>124</v>
      </c>
    </row>
    <row r="131">
      <c r="A131" s="31">
        <v>45802.0</v>
      </c>
      <c r="B131" s="6" t="s">
        <v>117</v>
      </c>
      <c r="C131" s="4">
        <v>29.3</v>
      </c>
      <c r="D131" s="9" t="s">
        <v>110</v>
      </c>
    </row>
    <row r="132">
      <c r="A132" s="31">
        <v>45802.0</v>
      </c>
      <c r="B132" s="6" t="s">
        <v>154</v>
      </c>
      <c r="C132" s="4">
        <v>7.63</v>
      </c>
      <c r="D132" s="9" t="s">
        <v>155</v>
      </c>
    </row>
  </sheetData>
  <autoFilter ref="$A$1:$Y$834">
    <sortState ref="A1:Y834">
      <sortCondition ref="A1:A834"/>
      <sortCondition ref="D1:D834"/>
    </sortState>
  </autoFilter>
  <dataValidations>
    <dataValidation type="list" allowBlank="1" showErrorMessage="1" sqref="D107:D13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SUB"</formula1>
    </dataValidation>
    <dataValidation type="list" allowBlank="1" showErrorMessage="1" sqref="D2:D14 D16:D78 D80:D100 D102:D106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BEAUTY,TRAVEL,MOBILE,ALCOHOL,CANNABIS,GIFTS,NEWSPAPERS,ENTERTAINMENT,PAYMENT,INTERNET,RELIANCE,CANNA"&amp;"BIS,CLOTHING,VET BILL"</formula1>
    </dataValidation>
    <dataValidation type="list" allowBlank="1" showErrorMessage="1" sqref="D15 D79 D10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EXPENSES"</formula1>
    </dataValidation>
  </dataValidations>
  <hyperlinks>
    <hyperlink r:id="rId2" ref="B6"/>
    <hyperlink r:id="rId3" ref="B24"/>
    <hyperlink r:id="rId4" ref="B25"/>
    <hyperlink r:id="rId5" ref="B26"/>
    <hyperlink r:id="rId6" ref="B79"/>
    <hyperlink r:id="rId7" ref="B85"/>
    <hyperlink r:id="rId8" ref="B86"/>
    <hyperlink r:id="rId9" ref="B87"/>
    <hyperlink r:id="rId10" ref="B88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45832.0</v>
      </c>
      <c r="B2" s="6" t="s">
        <v>185</v>
      </c>
      <c r="C2" s="4">
        <v>32.35</v>
      </c>
      <c r="D2" s="9" t="s">
        <v>131</v>
      </c>
    </row>
    <row r="3">
      <c r="A3" s="24">
        <v>45832.0</v>
      </c>
      <c r="B3" s="6" t="s">
        <v>113</v>
      </c>
      <c r="C3" s="4">
        <v>20.22</v>
      </c>
      <c r="D3" s="9" t="s">
        <v>114</v>
      </c>
    </row>
    <row r="4">
      <c r="A4" s="24">
        <v>45832.0</v>
      </c>
      <c r="B4" s="6" t="s">
        <v>427</v>
      </c>
      <c r="C4" s="4">
        <v>16.94</v>
      </c>
      <c r="D4" s="9" t="s">
        <v>145</v>
      </c>
    </row>
    <row r="5">
      <c r="A5" s="24">
        <v>45832.0</v>
      </c>
      <c r="B5" s="6" t="s">
        <v>115</v>
      </c>
      <c r="C5" s="4">
        <v>70.0</v>
      </c>
      <c r="D5" s="9" t="s">
        <v>116</v>
      </c>
    </row>
    <row r="6">
      <c r="A6" s="24">
        <v>45832.0</v>
      </c>
      <c r="B6" s="6" t="s">
        <v>428</v>
      </c>
      <c r="C6" s="4">
        <v>4.17</v>
      </c>
      <c r="D6" s="9" t="s">
        <v>145</v>
      </c>
    </row>
    <row r="7">
      <c r="A7" s="24">
        <v>45831.0</v>
      </c>
      <c r="B7" s="6" t="s">
        <v>348</v>
      </c>
      <c r="C7" s="4">
        <v>241.61</v>
      </c>
      <c r="D7" s="9" t="s">
        <v>164</v>
      </c>
    </row>
    <row r="8">
      <c r="A8" s="24">
        <v>45831.0</v>
      </c>
      <c r="B8" s="6" t="s">
        <v>429</v>
      </c>
      <c r="C8" s="4">
        <v>141.25</v>
      </c>
      <c r="D8" s="9" t="s">
        <v>164</v>
      </c>
    </row>
    <row r="9">
      <c r="A9" s="24">
        <v>45831.0</v>
      </c>
      <c r="B9" s="6" t="s">
        <v>235</v>
      </c>
      <c r="C9" s="4">
        <v>46.1</v>
      </c>
      <c r="D9" s="9" t="s">
        <v>134</v>
      </c>
    </row>
    <row r="10">
      <c r="A10" s="24">
        <v>45830.0</v>
      </c>
      <c r="B10" s="6" t="s">
        <v>390</v>
      </c>
      <c r="C10" s="4">
        <v>53.68</v>
      </c>
      <c r="D10" s="9" t="s">
        <v>139</v>
      </c>
    </row>
    <row r="11">
      <c r="A11" s="24">
        <v>45830.0</v>
      </c>
      <c r="B11" s="6" t="s">
        <v>390</v>
      </c>
      <c r="C11" s="4">
        <v>54.76</v>
      </c>
      <c r="D11" s="9" t="s">
        <v>139</v>
      </c>
    </row>
    <row r="12">
      <c r="A12" s="24">
        <v>45830.0</v>
      </c>
      <c r="B12" s="6" t="s">
        <v>431</v>
      </c>
      <c r="C12" s="4">
        <v>2.3</v>
      </c>
      <c r="D12" s="9" t="s">
        <v>137</v>
      </c>
    </row>
    <row r="13">
      <c r="A13" s="24">
        <v>45830.0</v>
      </c>
      <c r="B13" s="6" t="s">
        <v>431</v>
      </c>
      <c r="C13" s="4">
        <v>100.03</v>
      </c>
      <c r="D13" s="9" t="s">
        <v>137</v>
      </c>
    </row>
    <row r="14">
      <c r="A14" s="24">
        <v>45829.0</v>
      </c>
      <c r="B14" s="6" t="s">
        <v>432</v>
      </c>
      <c r="C14" s="4">
        <v>180.78</v>
      </c>
      <c r="D14" s="9" t="s">
        <v>430</v>
      </c>
    </row>
    <row r="15">
      <c r="A15" s="24">
        <v>45829.0</v>
      </c>
      <c r="B15" s="6" t="s">
        <v>433</v>
      </c>
      <c r="C15" s="4">
        <v>51.98</v>
      </c>
      <c r="D15" s="9" t="s">
        <v>139</v>
      </c>
    </row>
    <row r="16">
      <c r="A16" s="24">
        <v>45829.0</v>
      </c>
      <c r="B16" s="6" t="s">
        <v>433</v>
      </c>
      <c r="C16" s="4">
        <v>127.69</v>
      </c>
      <c r="D16" s="9" t="s">
        <v>139</v>
      </c>
    </row>
    <row r="17">
      <c r="A17" s="24">
        <v>45829.0</v>
      </c>
      <c r="B17" s="6" t="s">
        <v>434</v>
      </c>
      <c r="C17" s="4">
        <v>25.09</v>
      </c>
      <c r="D17" s="9" t="s">
        <v>139</v>
      </c>
    </row>
    <row r="18">
      <c r="A18" s="24">
        <v>45829.0</v>
      </c>
      <c r="B18" s="6" t="s">
        <v>235</v>
      </c>
      <c r="C18" s="4">
        <v>56.03</v>
      </c>
      <c r="D18" s="9" t="s">
        <v>134</v>
      </c>
    </row>
    <row r="19">
      <c r="A19" s="24">
        <v>45829.0</v>
      </c>
      <c r="B19" s="6" t="s">
        <v>435</v>
      </c>
      <c r="C19" s="4">
        <v>53.33</v>
      </c>
      <c r="D19" s="9" t="s">
        <v>134</v>
      </c>
    </row>
    <row r="20">
      <c r="A20" s="24">
        <v>45829.0</v>
      </c>
      <c r="B20" s="6" t="s">
        <v>436</v>
      </c>
      <c r="C20" s="4">
        <v>33.6</v>
      </c>
      <c r="D20" s="9" t="s">
        <v>110</v>
      </c>
    </row>
    <row r="21">
      <c r="A21" s="24">
        <v>45828.0</v>
      </c>
      <c r="B21" s="6" t="s">
        <v>437</v>
      </c>
      <c r="C21" s="4">
        <v>139.16</v>
      </c>
      <c r="D21" s="9" t="s">
        <v>110</v>
      </c>
    </row>
    <row r="22">
      <c r="A22" s="24">
        <v>45828.0</v>
      </c>
      <c r="B22" s="6" t="s">
        <v>254</v>
      </c>
      <c r="C22" s="4">
        <v>33.03</v>
      </c>
      <c r="D22" s="9" t="s">
        <v>164</v>
      </c>
    </row>
    <row r="23">
      <c r="A23" s="24">
        <v>45828.0</v>
      </c>
      <c r="B23" s="6" t="s">
        <v>254</v>
      </c>
      <c r="C23" s="4">
        <v>132.08</v>
      </c>
      <c r="D23" s="9" t="s">
        <v>164</v>
      </c>
    </row>
    <row r="24">
      <c r="A24" s="24">
        <v>45828.0</v>
      </c>
      <c r="B24" s="6" t="s">
        <v>254</v>
      </c>
      <c r="C24" s="4">
        <v>138.1</v>
      </c>
      <c r="D24" s="9" t="s">
        <v>164</v>
      </c>
    </row>
    <row r="25">
      <c r="A25" s="24">
        <v>45828.0</v>
      </c>
      <c r="B25" s="6" t="s">
        <v>235</v>
      </c>
      <c r="C25" s="4">
        <v>46.32</v>
      </c>
      <c r="D25" s="9" t="s">
        <v>134</v>
      </c>
    </row>
    <row r="26">
      <c r="A26" s="24">
        <v>45828.0</v>
      </c>
      <c r="B26" s="6" t="s">
        <v>235</v>
      </c>
      <c r="C26" s="4">
        <v>60.93</v>
      </c>
      <c r="D26" s="9" t="s">
        <v>134</v>
      </c>
    </row>
    <row r="27">
      <c r="A27" s="24">
        <v>45828.0</v>
      </c>
      <c r="B27" s="6" t="s">
        <v>411</v>
      </c>
      <c r="C27" s="4">
        <v>6.76</v>
      </c>
      <c r="D27" s="9" t="s">
        <v>134</v>
      </c>
    </row>
    <row r="28">
      <c r="A28" s="24">
        <v>45827.0</v>
      </c>
      <c r="B28" s="6" t="s">
        <v>438</v>
      </c>
      <c r="C28" s="4">
        <v>36.91</v>
      </c>
      <c r="D28" s="9" t="s">
        <v>147</v>
      </c>
    </row>
    <row r="29">
      <c r="A29" s="24">
        <v>45827.0</v>
      </c>
      <c r="B29" s="6" t="s">
        <v>439</v>
      </c>
      <c r="C29" s="4">
        <v>41.8</v>
      </c>
      <c r="D29" s="9" t="s">
        <v>134</v>
      </c>
    </row>
    <row r="30">
      <c r="A30" s="24">
        <v>45827.0</v>
      </c>
      <c r="B30" s="6" t="s">
        <v>318</v>
      </c>
      <c r="C30" s="4">
        <v>-9.83</v>
      </c>
      <c r="D30" s="9" t="s">
        <v>128</v>
      </c>
    </row>
    <row r="31">
      <c r="A31" s="24">
        <v>45827.0</v>
      </c>
      <c r="B31" s="6" t="s">
        <v>318</v>
      </c>
      <c r="C31" s="4">
        <v>11.29</v>
      </c>
      <c r="D31" s="9" t="s">
        <v>147</v>
      </c>
    </row>
    <row r="32">
      <c r="A32" s="24">
        <v>45827.0</v>
      </c>
      <c r="B32" s="6" t="s">
        <v>151</v>
      </c>
      <c r="C32" s="4">
        <v>45.2</v>
      </c>
      <c r="D32" s="9" t="s">
        <v>152</v>
      </c>
    </row>
    <row r="33">
      <c r="A33" s="24">
        <v>45827.0</v>
      </c>
      <c r="B33" s="6" t="s">
        <v>176</v>
      </c>
      <c r="C33" s="4">
        <v>8.0</v>
      </c>
      <c r="D33" s="9" t="s">
        <v>147</v>
      </c>
    </row>
    <row r="34">
      <c r="A34" s="24">
        <v>45827.0</v>
      </c>
      <c r="B34" s="6" t="s">
        <v>422</v>
      </c>
      <c r="C34" s="4">
        <v>0.78</v>
      </c>
      <c r="D34" s="9" t="s">
        <v>145</v>
      </c>
    </row>
    <row r="35">
      <c r="A35" s="24">
        <v>45827.0</v>
      </c>
      <c r="B35" s="6" t="s">
        <v>174</v>
      </c>
      <c r="C35" s="4">
        <v>115.65</v>
      </c>
      <c r="D35" s="9" t="s">
        <v>161</v>
      </c>
    </row>
    <row r="36">
      <c r="A36" s="24">
        <v>45826.0</v>
      </c>
      <c r="B36" s="6" t="s">
        <v>185</v>
      </c>
      <c r="C36" s="4">
        <v>28.97</v>
      </c>
      <c r="D36" s="9" t="s">
        <v>131</v>
      </c>
    </row>
    <row r="37">
      <c r="A37" s="24">
        <v>45826.0</v>
      </c>
      <c r="B37" s="6" t="s">
        <v>417</v>
      </c>
      <c r="C37" s="4">
        <v>35.99</v>
      </c>
      <c r="D37" s="9" t="s">
        <v>110</v>
      </c>
    </row>
    <row r="38">
      <c r="A38" s="24">
        <v>45826.0</v>
      </c>
      <c r="B38" s="6" t="s">
        <v>160</v>
      </c>
      <c r="C38" s="4">
        <v>93.86</v>
      </c>
      <c r="D38" s="9" t="s">
        <v>153</v>
      </c>
    </row>
    <row r="39">
      <c r="A39" s="24">
        <v>45826.0</v>
      </c>
      <c r="B39" s="26" t="s">
        <v>142</v>
      </c>
      <c r="C39" s="4">
        <v>14.68</v>
      </c>
      <c r="D39" s="9" t="s">
        <v>124</v>
      </c>
    </row>
    <row r="40">
      <c r="A40" s="24">
        <v>45826.0</v>
      </c>
      <c r="B40" s="26" t="s">
        <v>142</v>
      </c>
      <c r="C40" s="4">
        <v>48.57</v>
      </c>
      <c r="D40" s="9" t="s">
        <v>124</v>
      </c>
    </row>
    <row r="41">
      <c r="A41" s="24">
        <v>45826.0</v>
      </c>
      <c r="B41" s="6" t="s">
        <v>115</v>
      </c>
      <c r="C41" s="4">
        <v>70.0</v>
      </c>
      <c r="D41" s="9" t="s">
        <v>116</v>
      </c>
    </row>
    <row r="42">
      <c r="A42" s="24">
        <v>45825.0</v>
      </c>
      <c r="B42" s="6" t="s">
        <v>178</v>
      </c>
      <c r="C42" s="4">
        <v>110.72</v>
      </c>
      <c r="D42" s="9" t="s">
        <v>124</v>
      </c>
    </row>
    <row r="43">
      <c r="A43" s="24">
        <v>45825.0</v>
      </c>
      <c r="B43" s="6" t="s">
        <v>185</v>
      </c>
      <c r="C43" s="4">
        <v>28.97</v>
      </c>
      <c r="D43" s="9" t="s">
        <v>131</v>
      </c>
    </row>
    <row r="44">
      <c r="A44" s="24">
        <v>45825.0</v>
      </c>
      <c r="B44" s="6" t="s">
        <v>388</v>
      </c>
      <c r="C44" s="4">
        <v>40.88</v>
      </c>
      <c r="D44" s="9" t="s">
        <v>137</v>
      </c>
    </row>
    <row r="45">
      <c r="A45" s="24">
        <v>45825.0</v>
      </c>
      <c r="B45" s="6" t="s">
        <v>440</v>
      </c>
      <c r="C45" s="4">
        <v>59.0</v>
      </c>
      <c r="D45" s="9" t="s">
        <v>145</v>
      </c>
    </row>
    <row r="46">
      <c r="A46" s="24">
        <v>45824.0</v>
      </c>
      <c r="B46" s="6" t="s">
        <v>185</v>
      </c>
      <c r="C46" s="4">
        <v>28.97</v>
      </c>
      <c r="D46" s="9" t="s">
        <v>131</v>
      </c>
    </row>
    <row r="47">
      <c r="A47" s="24">
        <v>45824.0</v>
      </c>
      <c r="B47" s="6" t="s">
        <v>441</v>
      </c>
      <c r="C47" s="4">
        <v>139.25</v>
      </c>
      <c r="D47" s="9" t="s">
        <v>158</v>
      </c>
    </row>
    <row r="48">
      <c r="A48" s="24">
        <v>45824.0</v>
      </c>
      <c r="B48" s="6" t="s">
        <v>407</v>
      </c>
      <c r="C48" s="4">
        <v>36.75</v>
      </c>
      <c r="D48" s="9" t="s">
        <v>134</v>
      </c>
    </row>
    <row r="49">
      <c r="A49" s="24">
        <v>45824.0</v>
      </c>
      <c r="B49" s="6" t="s">
        <v>442</v>
      </c>
      <c r="C49" s="4">
        <v>45.19</v>
      </c>
      <c r="D49" s="9" t="s">
        <v>123</v>
      </c>
    </row>
    <row r="50">
      <c r="A50" s="24">
        <v>45824.0</v>
      </c>
      <c r="B50" s="26" t="s">
        <v>280</v>
      </c>
      <c r="C50" s="4">
        <v>27.11</v>
      </c>
      <c r="D50" s="9" t="s">
        <v>158</v>
      </c>
    </row>
    <row r="51">
      <c r="A51" s="24">
        <v>45824.0</v>
      </c>
      <c r="B51" s="6" t="s">
        <v>150</v>
      </c>
      <c r="C51" s="4">
        <v>15.0</v>
      </c>
      <c r="D51" s="9" t="s">
        <v>135</v>
      </c>
    </row>
    <row r="52">
      <c r="A52" s="24">
        <v>45823.0</v>
      </c>
      <c r="B52" s="6" t="s">
        <v>125</v>
      </c>
      <c r="C52" s="4">
        <v>4.51</v>
      </c>
      <c r="D52" s="9" t="s">
        <v>126</v>
      </c>
    </row>
    <row r="53">
      <c r="A53" s="24">
        <v>45823.0</v>
      </c>
      <c r="B53" s="6" t="s">
        <v>243</v>
      </c>
      <c r="C53" s="4">
        <v>43.49</v>
      </c>
      <c r="D53" s="9" t="s">
        <v>134</v>
      </c>
    </row>
    <row r="54">
      <c r="A54" s="24">
        <v>45822.0</v>
      </c>
      <c r="B54" s="6" t="s">
        <v>189</v>
      </c>
      <c r="C54" s="4">
        <v>129.94</v>
      </c>
      <c r="D54" s="9" t="s">
        <v>121</v>
      </c>
    </row>
    <row r="55">
      <c r="A55" s="24">
        <v>45822.0</v>
      </c>
      <c r="B55" s="6" t="s">
        <v>173</v>
      </c>
      <c r="C55" s="4">
        <v>11.29</v>
      </c>
      <c r="D55" s="9" t="s">
        <v>126</v>
      </c>
    </row>
    <row r="56">
      <c r="A56" s="24">
        <v>45821.0</v>
      </c>
      <c r="B56" s="6" t="s">
        <v>175</v>
      </c>
      <c r="C56" s="4">
        <v>11.29</v>
      </c>
      <c r="D56" s="9" t="s">
        <v>126</v>
      </c>
    </row>
    <row r="57">
      <c r="A57" s="24">
        <v>45821.0</v>
      </c>
      <c r="B57" s="6" t="s">
        <v>117</v>
      </c>
      <c r="C57" s="4">
        <v>54.55</v>
      </c>
      <c r="D57" s="9" t="s">
        <v>110</v>
      </c>
    </row>
    <row r="58">
      <c r="A58" s="24">
        <v>45821.0</v>
      </c>
      <c r="B58" s="6" t="s">
        <v>269</v>
      </c>
      <c r="C58" s="4">
        <v>255.27</v>
      </c>
      <c r="D58" s="9" t="s">
        <v>110</v>
      </c>
    </row>
    <row r="59">
      <c r="A59" s="24">
        <v>45820.0</v>
      </c>
      <c r="B59" s="6" t="s">
        <v>185</v>
      </c>
      <c r="C59" s="4">
        <v>28.97</v>
      </c>
      <c r="D59" s="9" t="s">
        <v>131</v>
      </c>
    </row>
    <row r="60">
      <c r="A60" s="24">
        <v>45820.0</v>
      </c>
      <c r="B60" s="6" t="s">
        <v>296</v>
      </c>
      <c r="C60" s="4">
        <v>6.77</v>
      </c>
      <c r="D60" s="9" t="s">
        <v>134</v>
      </c>
    </row>
    <row r="61">
      <c r="A61" s="24">
        <v>45820.0</v>
      </c>
      <c r="B61" s="6" t="s">
        <v>296</v>
      </c>
      <c r="C61" s="4">
        <v>-4.2</v>
      </c>
      <c r="D61" s="9" t="s">
        <v>134</v>
      </c>
    </row>
    <row r="62">
      <c r="A62" s="24">
        <v>45820.0</v>
      </c>
      <c r="B62" s="6" t="s">
        <v>296</v>
      </c>
      <c r="C62" s="4">
        <v>4.2</v>
      </c>
      <c r="D62" s="9" t="s">
        <v>134</v>
      </c>
    </row>
    <row r="63">
      <c r="A63" s="24">
        <v>45820.0</v>
      </c>
      <c r="B63" s="6" t="s">
        <v>443</v>
      </c>
      <c r="C63" s="4">
        <v>48.27</v>
      </c>
      <c r="D63" s="9" t="s">
        <v>137</v>
      </c>
    </row>
    <row r="64">
      <c r="A64" s="24">
        <v>45820.0</v>
      </c>
      <c r="B64" s="6" t="s">
        <v>444</v>
      </c>
      <c r="C64" s="4">
        <v>22.59</v>
      </c>
      <c r="D64" s="9" t="s">
        <v>141</v>
      </c>
    </row>
    <row r="65">
      <c r="A65" s="24">
        <v>45820.0</v>
      </c>
      <c r="B65" s="6" t="s">
        <v>297</v>
      </c>
      <c r="C65" s="4">
        <v>53.93</v>
      </c>
      <c r="D65" s="9" t="s">
        <v>147</v>
      </c>
    </row>
    <row r="66">
      <c r="A66" s="24">
        <v>45820.0</v>
      </c>
      <c r="B66" s="6" t="s">
        <v>298</v>
      </c>
      <c r="C66" s="4">
        <v>25.42</v>
      </c>
      <c r="D66" s="9" t="s">
        <v>116</v>
      </c>
    </row>
    <row r="67">
      <c r="A67" s="24">
        <v>45820.0</v>
      </c>
      <c r="B67" s="6" t="s">
        <v>445</v>
      </c>
      <c r="C67" s="4">
        <v>28.19</v>
      </c>
      <c r="D67" s="9" t="s">
        <v>145</v>
      </c>
    </row>
    <row r="68">
      <c r="A68" s="24">
        <v>45820.0</v>
      </c>
      <c r="B68" s="6" t="s">
        <v>446</v>
      </c>
      <c r="C68" s="4">
        <v>77.9</v>
      </c>
      <c r="D68" s="9" t="s">
        <v>147</v>
      </c>
    </row>
    <row r="69">
      <c r="A69" s="24">
        <v>45820.0</v>
      </c>
      <c r="B69" s="6" t="s">
        <v>225</v>
      </c>
      <c r="C69" s="4">
        <v>35.33</v>
      </c>
      <c r="D69" s="9" t="s">
        <v>110</v>
      </c>
    </row>
    <row r="70">
      <c r="A70" s="24">
        <v>45820.0</v>
      </c>
      <c r="B70" s="6" t="s">
        <v>299</v>
      </c>
      <c r="C70" s="4">
        <v>32.77</v>
      </c>
      <c r="D70" s="9" t="s">
        <v>147</v>
      </c>
    </row>
    <row r="71">
      <c r="A71" s="24">
        <v>45820.0</v>
      </c>
      <c r="B71" s="6" t="s">
        <v>447</v>
      </c>
      <c r="C71" s="4">
        <v>51.98</v>
      </c>
      <c r="D71" s="9" t="s">
        <v>147</v>
      </c>
    </row>
    <row r="72">
      <c r="A72" s="24">
        <v>45820.0</v>
      </c>
      <c r="B72" s="6" t="s">
        <v>301</v>
      </c>
      <c r="C72" s="4">
        <v>135.3</v>
      </c>
      <c r="D72" s="9" t="s">
        <v>135</v>
      </c>
    </row>
    <row r="73">
      <c r="A73" s="24">
        <v>45820.0</v>
      </c>
      <c r="B73" s="6" t="s">
        <v>150</v>
      </c>
      <c r="C73" s="4">
        <v>25.0</v>
      </c>
      <c r="D73" s="9" t="s">
        <v>135</v>
      </c>
    </row>
    <row r="74">
      <c r="A74" s="24">
        <v>45819.0</v>
      </c>
      <c r="B74" s="6" t="s">
        <v>178</v>
      </c>
      <c r="C74" s="4">
        <v>22.59</v>
      </c>
      <c r="D74" s="9" t="s">
        <v>124</v>
      </c>
    </row>
    <row r="75">
      <c r="A75" s="24">
        <v>45819.0</v>
      </c>
      <c r="B75" s="6" t="s">
        <v>384</v>
      </c>
      <c r="C75" s="4">
        <v>57.5</v>
      </c>
      <c r="D75" s="9" t="s">
        <v>123</v>
      </c>
    </row>
    <row r="76">
      <c r="A76" s="24">
        <v>45819.0</v>
      </c>
      <c r="B76" s="6" t="s">
        <v>448</v>
      </c>
      <c r="C76" s="4">
        <v>8.48</v>
      </c>
      <c r="D76" s="9" t="s">
        <v>134</v>
      </c>
    </row>
    <row r="77">
      <c r="A77" s="24">
        <v>45819.0</v>
      </c>
      <c r="B77" s="6" t="s">
        <v>448</v>
      </c>
      <c r="C77" s="4">
        <v>46.1</v>
      </c>
      <c r="D77" s="9" t="s">
        <v>134</v>
      </c>
    </row>
    <row r="78">
      <c r="A78" s="24">
        <v>45818.0</v>
      </c>
      <c r="B78" s="6" t="s">
        <v>178</v>
      </c>
      <c r="C78" s="4">
        <v>4.51</v>
      </c>
      <c r="D78" s="9" t="s">
        <v>126</v>
      </c>
    </row>
    <row r="79">
      <c r="A79" s="24">
        <v>45818.0</v>
      </c>
      <c r="B79" s="6" t="s">
        <v>178</v>
      </c>
      <c r="C79" s="4">
        <v>4.51</v>
      </c>
      <c r="D79" s="9" t="s">
        <v>126</v>
      </c>
    </row>
    <row r="80">
      <c r="A80" s="24">
        <v>45818.0</v>
      </c>
      <c r="B80" s="6" t="s">
        <v>185</v>
      </c>
      <c r="C80" s="4">
        <v>28.97</v>
      </c>
      <c r="D80" s="9" t="s">
        <v>131</v>
      </c>
    </row>
    <row r="81">
      <c r="A81" s="24">
        <v>45818.0</v>
      </c>
      <c r="B81" s="6" t="s">
        <v>449</v>
      </c>
      <c r="C81" s="4">
        <v>88.84</v>
      </c>
      <c r="D81" s="9" t="s">
        <v>145</v>
      </c>
    </row>
    <row r="82">
      <c r="A82" s="24">
        <v>45818.0</v>
      </c>
      <c r="B82" s="6" t="s">
        <v>284</v>
      </c>
      <c r="C82" s="4">
        <v>3.85</v>
      </c>
      <c r="D82" s="9" t="s">
        <v>145</v>
      </c>
    </row>
    <row r="83">
      <c r="A83" s="24">
        <v>45818.0</v>
      </c>
      <c r="B83" s="6" t="s">
        <v>286</v>
      </c>
      <c r="C83" s="4">
        <v>31.75</v>
      </c>
      <c r="D83" s="9" t="s">
        <v>145</v>
      </c>
    </row>
    <row r="84">
      <c r="A84" s="24">
        <v>45818.0</v>
      </c>
      <c r="B84" s="6" t="s">
        <v>115</v>
      </c>
      <c r="C84" s="4">
        <v>70.0</v>
      </c>
      <c r="D84" s="9" t="s">
        <v>116</v>
      </c>
    </row>
    <row r="85">
      <c r="A85" s="24">
        <v>45818.0</v>
      </c>
      <c r="B85" s="6" t="s">
        <v>213</v>
      </c>
      <c r="C85" s="4">
        <v>-42.21</v>
      </c>
      <c r="D85" s="9" t="s">
        <v>128</v>
      </c>
    </row>
    <row r="86">
      <c r="A86" s="24">
        <v>45817.0</v>
      </c>
      <c r="B86" s="6" t="s">
        <v>125</v>
      </c>
      <c r="C86" s="4">
        <v>5.64</v>
      </c>
      <c r="D86" s="9" t="s">
        <v>126</v>
      </c>
    </row>
    <row r="87">
      <c r="A87" s="24">
        <v>45817.0</v>
      </c>
      <c r="B87" s="6" t="s">
        <v>179</v>
      </c>
      <c r="C87" s="4">
        <v>11.29</v>
      </c>
      <c r="D87" s="9" t="s">
        <v>155</v>
      </c>
    </row>
    <row r="88">
      <c r="A88" s="24">
        <v>45817.0</v>
      </c>
      <c r="B88" s="6" t="s">
        <v>225</v>
      </c>
      <c r="C88" s="4">
        <v>208.3</v>
      </c>
      <c r="D88" s="9" t="s">
        <v>110</v>
      </c>
    </row>
    <row r="89">
      <c r="A89" s="24">
        <v>45817.0</v>
      </c>
      <c r="B89" s="6" t="s">
        <v>128</v>
      </c>
      <c r="C89" s="4">
        <v>-1833.43</v>
      </c>
      <c r="D89" s="9" t="s">
        <v>128</v>
      </c>
    </row>
    <row r="90">
      <c r="A90" s="24">
        <v>45817.0</v>
      </c>
      <c r="B90" s="6" t="s">
        <v>450</v>
      </c>
      <c r="C90" s="4">
        <v>36.15</v>
      </c>
      <c r="D90" s="9" t="s">
        <v>137</v>
      </c>
    </row>
    <row r="91">
      <c r="A91" s="24">
        <v>45816.0</v>
      </c>
      <c r="B91" s="6" t="s">
        <v>277</v>
      </c>
      <c r="C91" s="4">
        <v>50.0</v>
      </c>
      <c r="D91" s="9" t="s">
        <v>132</v>
      </c>
    </row>
    <row r="92">
      <c r="A92" s="24">
        <v>45816.0</v>
      </c>
      <c r="B92" s="6" t="s">
        <v>451</v>
      </c>
      <c r="C92" s="4">
        <v>100.3</v>
      </c>
      <c r="D92" s="9" t="s">
        <v>123</v>
      </c>
    </row>
    <row r="93">
      <c r="A93" s="24">
        <v>45816.0</v>
      </c>
      <c r="B93" s="6" t="s">
        <v>452</v>
      </c>
      <c r="C93" s="4">
        <v>19.07</v>
      </c>
      <c r="D93" s="9" t="s">
        <v>134</v>
      </c>
    </row>
    <row r="94">
      <c r="A94" s="24">
        <v>45815.0</v>
      </c>
      <c r="B94" s="6" t="s">
        <v>125</v>
      </c>
      <c r="C94" s="4">
        <v>11.29</v>
      </c>
      <c r="D94" s="9" t="s">
        <v>126</v>
      </c>
    </row>
    <row r="95">
      <c r="A95" s="24">
        <v>45815.0</v>
      </c>
      <c r="B95" s="6" t="s">
        <v>453</v>
      </c>
      <c r="C95" s="4">
        <v>73.45</v>
      </c>
      <c r="D95" s="9" t="s">
        <v>126</v>
      </c>
    </row>
    <row r="96">
      <c r="A96" s="24">
        <v>45815.0</v>
      </c>
      <c r="B96" s="6" t="s">
        <v>150</v>
      </c>
      <c r="C96" s="4">
        <v>25.0</v>
      </c>
      <c r="D96" s="9" t="s">
        <v>135</v>
      </c>
    </row>
    <row r="97">
      <c r="A97" s="24">
        <v>45815.0</v>
      </c>
      <c r="B97" s="6" t="s">
        <v>380</v>
      </c>
      <c r="C97" s="4">
        <v>23.38</v>
      </c>
      <c r="D97" s="9" t="s">
        <v>134</v>
      </c>
    </row>
    <row r="98">
      <c r="A98" s="24">
        <v>45814.0</v>
      </c>
      <c r="B98" s="6" t="s">
        <v>243</v>
      </c>
      <c r="C98" s="4">
        <v>59.7</v>
      </c>
      <c r="D98" s="9" t="s">
        <v>134</v>
      </c>
    </row>
    <row r="99">
      <c r="A99" s="24">
        <v>45813.0</v>
      </c>
      <c r="B99" s="6" t="s">
        <v>125</v>
      </c>
      <c r="C99" s="4">
        <v>12.42</v>
      </c>
      <c r="D99" s="9" t="s">
        <v>126</v>
      </c>
    </row>
    <row r="100">
      <c r="A100" s="24">
        <v>45813.0</v>
      </c>
      <c r="B100" s="6" t="s">
        <v>185</v>
      </c>
      <c r="C100" s="4">
        <v>96.77</v>
      </c>
      <c r="D100" s="9" t="s">
        <v>131</v>
      </c>
    </row>
    <row r="101">
      <c r="A101" s="24">
        <v>45813.0</v>
      </c>
      <c r="B101" s="6" t="s">
        <v>154</v>
      </c>
      <c r="C101" s="4">
        <v>3.0</v>
      </c>
      <c r="D101" s="9" t="s">
        <v>155</v>
      </c>
    </row>
    <row r="102">
      <c r="A102" s="24">
        <v>45813.0</v>
      </c>
      <c r="B102" s="26" t="s">
        <v>142</v>
      </c>
      <c r="C102" s="4">
        <v>10.16</v>
      </c>
      <c r="D102" s="9" t="s">
        <v>124</v>
      </c>
    </row>
    <row r="103">
      <c r="A103" s="24">
        <v>45811.0</v>
      </c>
      <c r="B103" s="6" t="s">
        <v>185</v>
      </c>
      <c r="C103" s="4">
        <v>28.97</v>
      </c>
      <c r="D103" s="9" t="s">
        <v>131</v>
      </c>
    </row>
    <row r="104">
      <c r="A104" s="24">
        <v>45811.0</v>
      </c>
      <c r="B104" s="6" t="s">
        <v>218</v>
      </c>
      <c r="C104" s="4">
        <v>13.31</v>
      </c>
      <c r="D104" s="9" t="s">
        <v>131</v>
      </c>
    </row>
    <row r="105">
      <c r="A105" s="24">
        <v>45811.0</v>
      </c>
      <c r="B105" s="6" t="s">
        <v>117</v>
      </c>
      <c r="C105" s="4">
        <v>55.89</v>
      </c>
      <c r="D105" s="9" t="s">
        <v>110</v>
      </c>
    </row>
    <row r="106">
      <c r="A106" s="24">
        <v>45811.0</v>
      </c>
      <c r="B106" s="6" t="s">
        <v>417</v>
      </c>
      <c r="C106" s="4">
        <v>35.99</v>
      </c>
      <c r="D106" s="9" t="s">
        <v>110</v>
      </c>
    </row>
    <row r="107">
      <c r="A107" s="24">
        <v>45811.0</v>
      </c>
      <c r="B107" s="6" t="s">
        <v>235</v>
      </c>
      <c r="C107" s="4">
        <v>70.2</v>
      </c>
      <c r="D107" s="9" t="s">
        <v>134</v>
      </c>
    </row>
    <row r="108">
      <c r="A108" s="24">
        <v>45810.0</v>
      </c>
      <c r="B108" s="6" t="s">
        <v>454</v>
      </c>
      <c r="C108" s="4">
        <v>5.64</v>
      </c>
      <c r="D108" s="9" t="s">
        <v>126</v>
      </c>
    </row>
    <row r="109">
      <c r="A109" s="24">
        <v>45810.0</v>
      </c>
      <c r="B109" s="6" t="s">
        <v>455</v>
      </c>
      <c r="C109" s="4">
        <v>254.24</v>
      </c>
      <c r="D109" s="9" t="s">
        <v>139</v>
      </c>
    </row>
    <row r="110">
      <c r="A110" s="24">
        <v>45809.0</v>
      </c>
      <c r="B110" s="6" t="s">
        <v>456</v>
      </c>
      <c r="C110" s="4">
        <v>42.12</v>
      </c>
      <c r="D110" s="9" t="s">
        <v>123</v>
      </c>
    </row>
    <row r="111">
      <c r="A111" s="24">
        <v>45809.0</v>
      </c>
      <c r="B111" s="6" t="s">
        <v>191</v>
      </c>
      <c r="C111" s="4">
        <v>8.5</v>
      </c>
      <c r="D111" s="9" t="s">
        <v>149</v>
      </c>
    </row>
    <row r="112">
      <c r="A112" s="24">
        <v>45809.0</v>
      </c>
      <c r="B112" s="6" t="s">
        <v>457</v>
      </c>
      <c r="C112" s="4">
        <v>41.65</v>
      </c>
      <c r="D112" s="9" t="s">
        <v>145</v>
      </c>
    </row>
    <row r="113">
      <c r="A113" s="24">
        <v>45809.0</v>
      </c>
      <c r="B113" s="26" t="s">
        <v>142</v>
      </c>
      <c r="C113" s="4">
        <v>3.38</v>
      </c>
      <c r="D113" s="9" t="s">
        <v>124</v>
      </c>
    </row>
    <row r="114">
      <c r="A114" s="24">
        <v>45809.0</v>
      </c>
      <c r="B114" s="6" t="s">
        <v>385</v>
      </c>
      <c r="C114" s="4">
        <v>56.5</v>
      </c>
      <c r="D114" s="9" t="s">
        <v>326</v>
      </c>
    </row>
    <row r="115">
      <c r="A115" s="24">
        <v>45809.0</v>
      </c>
      <c r="B115" s="6" t="s">
        <v>213</v>
      </c>
      <c r="C115" s="4">
        <v>-2250.0</v>
      </c>
      <c r="D115" s="9" t="s">
        <v>128</v>
      </c>
    </row>
    <row r="116">
      <c r="A116" s="24">
        <v>45838.0</v>
      </c>
      <c r="B116" s="6" t="s">
        <v>251</v>
      </c>
      <c r="C116" s="4">
        <v>146.21</v>
      </c>
      <c r="D116" s="9" t="s">
        <v>228</v>
      </c>
    </row>
    <row r="117">
      <c r="A117" s="24">
        <v>45838.0</v>
      </c>
      <c r="B117" s="6" t="s">
        <v>251</v>
      </c>
      <c r="C117" s="4">
        <v>151.59</v>
      </c>
      <c r="D117" s="9" t="s">
        <v>228</v>
      </c>
    </row>
    <row r="118">
      <c r="A118" s="24">
        <v>45838.0</v>
      </c>
      <c r="B118" s="6" t="s">
        <v>458</v>
      </c>
      <c r="C118" s="4">
        <v>30.42</v>
      </c>
      <c r="D118" s="9" t="s">
        <v>164</v>
      </c>
    </row>
    <row r="119">
      <c r="A119" s="24">
        <v>45837.0</v>
      </c>
      <c r="B119" s="6" t="s">
        <v>125</v>
      </c>
      <c r="C119" s="4">
        <v>7.9</v>
      </c>
      <c r="D119" s="9" t="s">
        <v>126</v>
      </c>
    </row>
    <row r="120">
      <c r="A120" s="24">
        <v>45837.0</v>
      </c>
      <c r="B120" s="6" t="s">
        <v>125</v>
      </c>
      <c r="C120" s="4">
        <v>24.85</v>
      </c>
      <c r="D120" s="9" t="s">
        <v>126</v>
      </c>
    </row>
    <row r="121">
      <c r="A121" s="24">
        <v>45837.0</v>
      </c>
      <c r="B121" s="6" t="s">
        <v>254</v>
      </c>
      <c r="C121" s="4">
        <v>53.71</v>
      </c>
      <c r="D121" s="9" t="s">
        <v>164</v>
      </c>
    </row>
    <row r="122">
      <c r="A122" s="24">
        <v>45837.0</v>
      </c>
      <c r="B122" s="6" t="s">
        <v>459</v>
      </c>
      <c r="C122" s="4">
        <v>52.32</v>
      </c>
      <c r="D122" s="9" t="s">
        <v>164</v>
      </c>
    </row>
    <row r="123">
      <c r="A123" s="24">
        <v>45837.0</v>
      </c>
      <c r="B123" s="6" t="s">
        <v>460</v>
      </c>
      <c r="C123" s="4">
        <v>25.33</v>
      </c>
      <c r="D123" s="9" t="s">
        <v>164</v>
      </c>
    </row>
    <row r="124">
      <c r="A124" s="24">
        <v>45836.0</v>
      </c>
      <c r="B124" s="6" t="s">
        <v>461</v>
      </c>
      <c r="C124" s="4">
        <v>57.0</v>
      </c>
      <c r="D124" s="9" t="s">
        <v>164</v>
      </c>
    </row>
    <row r="125">
      <c r="A125" s="24">
        <v>45836.0</v>
      </c>
      <c r="B125" s="6" t="s">
        <v>195</v>
      </c>
      <c r="C125" s="4">
        <v>-7811.08</v>
      </c>
      <c r="D125" s="9" t="s">
        <v>128</v>
      </c>
    </row>
    <row r="126">
      <c r="A126" s="24">
        <v>45836.0</v>
      </c>
      <c r="B126" s="6" t="s">
        <v>240</v>
      </c>
      <c r="C126" s="4">
        <v>-5.0</v>
      </c>
      <c r="D126" s="9" t="s">
        <v>128</v>
      </c>
    </row>
    <row r="127">
      <c r="A127" s="24">
        <v>45836.0</v>
      </c>
      <c r="B127" s="6" t="s">
        <v>462</v>
      </c>
      <c r="C127" s="4">
        <v>39.49</v>
      </c>
      <c r="D127" s="9" t="s">
        <v>164</v>
      </c>
    </row>
    <row r="128">
      <c r="A128" s="24">
        <v>45836.0</v>
      </c>
      <c r="B128" s="6" t="s">
        <v>463</v>
      </c>
      <c r="C128" s="4">
        <v>25.03</v>
      </c>
      <c r="D128" s="9" t="s">
        <v>164</v>
      </c>
    </row>
    <row r="129">
      <c r="A129" s="24">
        <v>45836.0</v>
      </c>
      <c r="B129" s="6" t="s">
        <v>458</v>
      </c>
      <c r="C129" s="4">
        <v>17.11</v>
      </c>
      <c r="D129" s="9" t="s">
        <v>164</v>
      </c>
    </row>
    <row r="130">
      <c r="A130" s="24">
        <v>45835.0</v>
      </c>
      <c r="B130" s="6" t="s">
        <v>125</v>
      </c>
      <c r="C130" s="4">
        <v>16.94</v>
      </c>
      <c r="D130" s="9" t="s">
        <v>126</v>
      </c>
    </row>
    <row r="131">
      <c r="A131" s="24">
        <v>45835.0</v>
      </c>
      <c r="B131" s="6" t="s">
        <v>464</v>
      </c>
      <c r="C131" s="4">
        <v>23.01</v>
      </c>
      <c r="D131" s="9" t="s">
        <v>164</v>
      </c>
    </row>
    <row r="132">
      <c r="A132" s="24">
        <v>45835.0</v>
      </c>
      <c r="B132" s="6" t="s">
        <v>465</v>
      </c>
      <c r="C132" s="4">
        <v>23.72</v>
      </c>
      <c r="D132" s="9" t="s">
        <v>139</v>
      </c>
    </row>
    <row r="133">
      <c r="A133" s="24">
        <v>45835.0</v>
      </c>
      <c r="B133" s="6" t="s">
        <v>466</v>
      </c>
      <c r="C133" s="4">
        <v>7.21</v>
      </c>
      <c r="D133" s="9" t="s">
        <v>134</v>
      </c>
    </row>
    <row r="134">
      <c r="A134" s="24">
        <v>45835.0</v>
      </c>
      <c r="B134" s="6" t="s">
        <v>467</v>
      </c>
      <c r="C134" s="4">
        <v>61.83</v>
      </c>
      <c r="D134" s="9" t="s">
        <v>164</v>
      </c>
    </row>
    <row r="135">
      <c r="A135" s="24">
        <v>45834.0</v>
      </c>
      <c r="B135" s="6" t="s">
        <v>468</v>
      </c>
      <c r="C135" s="4">
        <v>124.61</v>
      </c>
      <c r="D135" s="9" t="s">
        <v>121</v>
      </c>
    </row>
    <row r="136">
      <c r="A136" s="24">
        <v>45831.0</v>
      </c>
      <c r="B136" s="6" t="s">
        <v>282</v>
      </c>
      <c r="C136" s="4">
        <v>56.47</v>
      </c>
      <c r="D136" s="9" t="s">
        <v>137</v>
      </c>
    </row>
    <row r="137">
      <c r="A137" s="24">
        <v>45834.0</v>
      </c>
      <c r="B137" s="6" t="s">
        <v>379</v>
      </c>
      <c r="C137" s="4">
        <v>423.75</v>
      </c>
      <c r="D137" s="9" t="s">
        <v>147</v>
      </c>
    </row>
    <row r="138">
      <c r="A138" s="24">
        <v>45833.0</v>
      </c>
      <c r="B138" s="6" t="s">
        <v>213</v>
      </c>
      <c r="C138" s="4">
        <v>-654.09</v>
      </c>
      <c r="D138" s="9" t="s">
        <v>128</v>
      </c>
    </row>
  </sheetData>
  <autoFilter ref="$A$1:$Y$828">
    <sortState ref="A1:Y828">
      <sortCondition descending="1" ref="A1:A828"/>
      <sortCondition ref="D1:D828"/>
    </sortState>
  </autoFilter>
  <dataValidations>
    <dataValidation type="list" allowBlank="1" showErrorMessage="1" sqref="D2:D138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SUB"</formula1>
    </dataValidation>
  </dataValidations>
  <hyperlinks>
    <hyperlink r:id="rId2" ref="B39"/>
    <hyperlink r:id="rId3" ref="B40"/>
    <hyperlink r:id="rId4" ref="B50"/>
    <hyperlink r:id="rId5" ref="B102"/>
    <hyperlink r:id="rId6" ref="B113"/>
  </hyperlinks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45867.0</v>
      </c>
      <c r="B2" s="6" t="s">
        <v>195</v>
      </c>
      <c r="C2" s="4">
        <v>-5803.08</v>
      </c>
      <c r="D2" s="9" t="s">
        <v>128</v>
      </c>
    </row>
    <row r="3">
      <c r="A3" s="24">
        <v>45860.0</v>
      </c>
      <c r="B3" s="6" t="s">
        <v>185</v>
      </c>
      <c r="C3" s="4">
        <v>28.97</v>
      </c>
      <c r="D3" s="9" t="s">
        <v>131</v>
      </c>
    </row>
    <row r="4">
      <c r="A4" s="24">
        <v>45860.0</v>
      </c>
      <c r="B4" s="6" t="s">
        <v>117</v>
      </c>
      <c r="C4" s="4">
        <v>49.08</v>
      </c>
      <c r="D4" s="9" t="s">
        <v>110</v>
      </c>
    </row>
    <row r="5">
      <c r="A5" s="24">
        <v>45860.0</v>
      </c>
      <c r="B5" s="6" t="s">
        <v>148</v>
      </c>
      <c r="C5" s="4">
        <v>90.4</v>
      </c>
      <c r="D5" s="9" t="s">
        <v>135</v>
      </c>
    </row>
    <row r="6">
      <c r="A6" s="24">
        <v>45858.0</v>
      </c>
      <c r="B6" s="6" t="s">
        <v>469</v>
      </c>
      <c r="C6" s="4">
        <v>-5.0</v>
      </c>
      <c r="D6" s="9" t="s">
        <v>128</v>
      </c>
    </row>
    <row r="7">
      <c r="A7" s="24">
        <v>45858.0</v>
      </c>
      <c r="B7" s="6" t="s">
        <v>185</v>
      </c>
      <c r="C7" s="4">
        <v>62.14</v>
      </c>
      <c r="D7" s="9" t="s">
        <v>131</v>
      </c>
    </row>
    <row r="8">
      <c r="A8" s="24">
        <v>45857.0</v>
      </c>
      <c r="B8" s="6" t="s">
        <v>470</v>
      </c>
      <c r="C8" s="4">
        <v>27.12</v>
      </c>
      <c r="D8" s="9" t="s">
        <v>134</v>
      </c>
    </row>
    <row r="9">
      <c r="A9" s="24">
        <v>45857.0</v>
      </c>
      <c r="B9" s="6" t="s">
        <v>471</v>
      </c>
      <c r="C9" s="4">
        <v>19.66</v>
      </c>
      <c r="D9" s="9" t="s">
        <v>268</v>
      </c>
    </row>
    <row r="10">
      <c r="A10" s="24">
        <v>45857.0</v>
      </c>
      <c r="B10" s="6" t="s">
        <v>472</v>
      </c>
      <c r="C10" s="4">
        <v>-5.0</v>
      </c>
      <c r="D10" s="9" t="s">
        <v>128</v>
      </c>
    </row>
    <row r="11">
      <c r="A11" s="24">
        <v>45857.0</v>
      </c>
      <c r="B11" s="6" t="s">
        <v>473</v>
      </c>
      <c r="C11" s="4">
        <v>34.67</v>
      </c>
      <c r="D11" s="9" t="s">
        <v>268</v>
      </c>
    </row>
    <row r="12">
      <c r="A12" s="24">
        <v>45857.0</v>
      </c>
      <c r="B12" s="6" t="s">
        <v>388</v>
      </c>
      <c r="C12" s="4">
        <v>49.31</v>
      </c>
      <c r="D12" s="9" t="s">
        <v>137</v>
      </c>
    </row>
    <row r="13">
      <c r="A13" s="24">
        <v>45857.0</v>
      </c>
      <c r="B13" s="6" t="s">
        <v>474</v>
      </c>
      <c r="C13" s="4">
        <v>16.0</v>
      </c>
      <c r="D13" s="9" t="s">
        <v>134</v>
      </c>
    </row>
    <row r="14">
      <c r="A14" s="24">
        <v>45857.0</v>
      </c>
      <c r="B14" s="6" t="s">
        <v>151</v>
      </c>
      <c r="C14" s="4">
        <v>45.2</v>
      </c>
      <c r="D14" s="9" t="s">
        <v>152</v>
      </c>
    </row>
    <row r="15">
      <c r="A15" s="24">
        <v>45856.0</v>
      </c>
      <c r="B15" s="6" t="s">
        <v>475</v>
      </c>
      <c r="C15" s="4">
        <v>1675.17</v>
      </c>
      <c r="D15" s="9" t="s">
        <v>128</v>
      </c>
    </row>
    <row r="16">
      <c r="A16" s="24">
        <v>45856.0</v>
      </c>
      <c r="B16" s="6" t="s">
        <v>154</v>
      </c>
      <c r="C16" s="4">
        <v>3.0</v>
      </c>
      <c r="D16" s="9" t="s">
        <v>155</v>
      </c>
    </row>
    <row r="17">
      <c r="A17" s="24">
        <v>45855.0</v>
      </c>
      <c r="B17" s="6" t="s">
        <v>476</v>
      </c>
      <c r="C17" s="4">
        <v>35.84</v>
      </c>
      <c r="D17" s="9" t="s">
        <v>139</v>
      </c>
    </row>
    <row r="18">
      <c r="A18" s="24">
        <v>45855.0</v>
      </c>
      <c r="B18" s="6" t="s">
        <v>185</v>
      </c>
      <c r="C18" s="4">
        <v>28.97</v>
      </c>
      <c r="D18" s="9" t="s">
        <v>131</v>
      </c>
    </row>
    <row r="19">
      <c r="A19" s="24">
        <v>45855.0</v>
      </c>
      <c r="B19" s="6" t="s">
        <v>477</v>
      </c>
      <c r="C19" s="4">
        <v>43.81</v>
      </c>
      <c r="D19" s="9" t="s">
        <v>139</v>
      </c>
    </row>
    <row r="20">
      <c r="A20" s="24">
        <v>45854.0</v>
      </c>
      <c r="B20" s="6" t="s">
        <v>478</v>
      </c>
      <c r="C20" s="4">
        <v>-100.0</v>
      </c>
      <c r="D20" s="9" t="s">
        <v>164</v>
      </c>
    </row>
    <row r="21">
      <c r="A21" s="24">
        <v>45853.0</v>
      </c>
      <c r="B21" s="6" t="s">
        <v>185</v>
      </c>
      <c r="C21" s="4">
        <v>45.91</v>
      </c>
      <c r="D21" s="9" t="s">
        <v>131</v>
      </c>
    </row>
    <row r="22">
      <c r="A22" s="24">
        <v>45853.0</v>
      </c>
      <c r="B22" s="6" t="s">
        <v>269</v>
      </c>
      <c r="C22" s="4">
        <v>4.04</v>
      </c>
      <c r="D22" s="9" t="s">
        <v>110</v>
      </c>
    </row>
    <row r="23">
      <c r="A23" s="24">
        <v>45853.0</v>
      </c>
      <c r="B23" s="6" t="s">
        <v>269</v>
      </c>
      <c r="C23" s="4">
        <v>239.0</v>
      </c>
      <c r="D23" s="9" t="s">
        <v>110</v>
      </c>
    </row>
    <row r="24">
      <c r="A24" s="24">
        <v>45852.0</v>
      </c>
      <c r="B24" s="6" t="s">
        <v>479</v>
      </c>
      <c r="C24" s="4">
        <v>168.56</v>
      </c>
      <c r="D24" s="9" t="s">
        <v>164</v>
      </c>
    </row>
    <row r="25">
      <c r="A25" s="24">
        <v>45851.0</v>
      </c>
      <c r="B25" s="6" t="s">
        <v>175</v>
      </c>
      <c r="C25" s="4">
        <v>11.29</v>
      </c>
      <c r="D25" s="9" t="s">
        <v>126</v>
      </c>
    </row>
    <row r="26">
      <c r="A26" s="24">
        <v>45851.0</v>
      </c>
      <c r="B26" s="6" t="s">
        <v>117</v>
      </c>
      <c r="C26" s="4">
        <v>43.93</v>
      </c>
      <c r="D26" s="9" t="s">
        <v>110</v>
      </c>
    </row>
    <row r="27">
      <c r="A27" s="24">
        <v>45850.0</v>
      </c>
      <c r="B27" s="6" t="s">
        <v>189</v>
      </c>
      <c r="C27" s="4">
        <v>249.93</v>
      </c>
      <c r="D27" s="9" t="s">
        <v>121</v>
      </c>
    </row>
    <row r="28">
      <c r="A28" s="24">
        <v>45850.0</v>
      </c>
      <c r="B28" s="6" t="s">
        <v>218</v>
      </c>
      <c r="C28" s="4">
        <v>26.62</v>
      </c>
      <c r="D28" s="9" t="s">
        <v>134</v>
      </c>
    </row>
    <row r="29">
      <c r="A29" s="24">
        <v>45850.0</v>
      </c>
      <c r="B29" s="6" t="s">
        <v>117</v>
      </c>
      <c r="C29" s="4">
        <v>230.42</v>
      </c>
      <c r="D29" s="9" t="s">
        <v>110</v>
      </c>
    </row>
    <row r="30">
      <c r="A30" s="24">
        <v>45850.0</v>
      </c>
      <c r="B30" s="6" t="s">
        <v>480</v>
      </c>
      <c r="C30" s="4">
        <v>142.08</v>
      </c>
      <c r="D30" s="9" t="s">
        <v>131</v>
      </c>
    </row>
    <row r="31">
      <c r="A31" s="24">
        <v>45850.0</v>
      </c>
      <c r="B31" s="6" t="s">
        <v>243</v>
      </c>
      <c r="C31" s="4">
        <v>70.2</v>
      </c>
      <c r="D31" s="9" t="s">
        <v>134</v>
      </c>
    </row>
    <row r="32">
      <c r="A32" s="24">
        <v>45848.0</v>
      </c>
      <c r="B32" s="6" t="s">
        <v>178</v>
      </c>
      <c r="C32" s="4">
        <v>4.51</v>
      </c>
      <c r="D32" s="9" t="s">
        <v>124</v>
      </c>
    </row>
    <row r="33">
      <c r="A33" s="24">
        <v>45848.0</v>
      </c>
      <c r="B33" s="6" t="s">
        <v>178</v>
      </c>
      <c r="C33" s="4">
        <v>4.51</v>
      </c>
      <c r="D33" s="9" t="s">
        <v>124</v>
      </c>
    </row>
    <row r="34">
      <c r="A34" s="24">
        <v>45848.0</v>
      </c>
      <c r="B34" s="6" t="s">
        <v>185</v>
      </c>
      <c r="C34" s="4">
        <v>28.97</v>
      </c>
      <c r="D34" s="9" t="s">
        <v>131</v>
      </c>
    </row>
    <row r="35">
      <c r="A35" s="29">
        <v>45847.0</v>
      </c>
      <c r="B35" s="6" t="s">
        <v>125</v>
      </c>
      <c r="C35" s="4">
        <v>5.64</v>
      </c>
      <c r="D35" s="9" t="s">
        <v>126</v>
      </c>
    </row>
    <row r="36">
      <c r="A36" s="29">
        <v>45847.0</v>
      </c>
      <c r="B36" s="6" t="s">
        <v>417</v>
      </c>
      <c r="C36" s="4">
        <v>35.99</v>
      </c>
      <c r="D36" s="9" t="s">
        <v>110</v>
      </c>
    </row>
    <row r="37">
      <c r="A37" s="29">
        <v>45846.0</v>
      </c>
      <c r="B37" s="6" t="s">
        <v>125</v>
      </c>
      <c r="C37" s="4">
        <v>-11.29</v>
      </c>
      <c r="D37" s="9" t="s">
        <v>126</v>
      </c>
    </row>
    <row r="38">
      <c r="A38" s="29">
        <v>45846.0</v>
      </c>
      <c r="B38" s="6" t="s">
        <v>277</v>
      </c>
      <c r="C38" s="4">
        <v>50.0</v>
      </c>
      <c r="D38" s="9" t="s">
        <v>132</v>
      </c>
    </row>
    <row r="39">
      <c r="A39" s="29">
        <v>45846.0</v>
      </c>
      <c r="B39" s="6" t="s">
        <v>185</v>
      </c>
      <c r="C39" s="4">
        <v>28.97</v>
      </c>
      <c r="D39" s="9" t="s">
        <v>131</v>
      </c>
    </row>
    <row r="40">
      <c r="A40" s="29">
        <v>45846.0</v>
      </c>
      <c r="B40" s="6" t="s">
        <v>481</v>
      </c>
      <c r="C40" s="4">
        <v>43.61</v>
      </c>
      <c r="D40" s="9" t="s">
        <v>134</v>
      </c>
    </row>
    <row r="41">
      <c r="A41" s="29">
        <v>45845.0</v>
      </c>
      <c r="B41" s="6" t="s">
        <v>125</v>
      </c>
      <c r="C41" s="4">
        <v>11.29</v>
      </c>
      <c r="D41" s="9" t="s">
        <v>126</v>
      </c>
    </row>
    <row r="42">
      <c r="A42" s="29">
        <v>45845.0</v>
      </c>
      <c r="B42" s="6" t="s">
        <v>218</v>
      </c>
      <c r="C42" s="4">
        <v>13.31</v>
      </c>
      <c r="D42" s="9" t="s">
        <v>134</v>
      </c>
    </row>
    <row r="43">
      <c r="A43" s="29">
        <v>45845.0</v>
      </c>
      <c r="B43" s="6" t="s">
        <v>209</v>
      </c>
      <c r="C43" s="4">
        <v>11.85</v>
      </c>
      <c r="D43" s="9" t="s">
        <v>139</v>
      </c>
    </row>
    <row r="44">
      <c r="A44" s="29">
        <v>45845.0</v>
      </c>
      <c r="B44" s="6" t="s">
        <v>449</v>
      </c>
      <c r="C44" s="4">
        <v>124.3</v>
      </c>
      <c r="D44" s="9" t="s">
        <v>145</v>
      </c>
    </row>
    <row r="45">
      <c r="A45" s="29">
        <v>45844.0</v>
      </c>
      <c r="B45" s="6" t="s">
        <v>390</v>
      </c>
      <c r="C45" s="4">
        <v>36.88</v>
      </c>
      <c r="D45" s="9" t="s">
        <v>139</v>
      </c>
    </row>
    <row r="46">
      <c r="A46" s="29">
        <v>45844.0</v>
      </c>
      <c r="B46" s="6" t="s">
        <v>476</v>
      </c>
      <c r="C46" s="4">
        <v>15.84</v>
      </c>
      <c r="D46" s="9" t="s">
        <v>139</v>
      </c>
    </row>
    <row r="47">
      <c r="A47" s="29">
        <v>45844.0</v>
      </c>
      <c r="B47" s="6" t="s">
        <v>482</v>
      </c>
      <c r="C47" s="4">
        <v>124.18</v>
      </c>
      <c r="D47" s="9" t="s">
        <v>139</v>
      </c>
    </row>
    <row r="48">
      <c r="A48" s="29">
        <v>45844.0</v>
      </c>
      <c r="B48" s="6" t="s">
        <v>154</v>
      </c>
      <c r="C48" s="4">
        <v>17.7</v>
      </c>
      <c r="D48" s="9" t="s">
        <v>155</v>
      </c>
    </row>
    <row r="49">
      <c r="A49" s="29">
        <v>45843.0</v>
      </c>
      <c r="B49" s="6" t="s">
        <v>125</v>
      </c>
      <c r="C49" s="4">
        <v>12.42</v>
      </c>
      <c r="D49" s="9" t="s">
        <v>126</v>
      </c>
    </row>
    <row r="50">
      <c r="A50" s="29">
        <v>45843.0</v>
      </c>
      <c r="B50" s="6" t="s">
        <v>483</v>
      </c>
      <c r="C50" s="4">
        <v>6.0</v>
      </c>
      <c r="D50" s="9" t="s">
        <v>164</v>
      </c>
    </row>
    <row r="51">
      <c r="A51" s="29">
        <v>45842.0</v>
      </c>
      <c r="B51" s="6" t="s">
        <v>189</v>
      </c>
      <c r="C51" s="4">
        <v>341.78</v>
      </c>
      <c r="D51" s="9" t="s">
        <v>121</v>
      </c>
    </row>
    <row r="52">
      <c r="A52" s="29">
        <v>45842.0</v>
      </c>
      <c r="B52" s="6" t="s">
        <v>117</v>
      </c>
      <c r="C52" s="4">
        <v>42.53</v>
      </c>
      <c r="D52" s="9" t="s">
        <v>110</v>
      </c>
    </row>
    <row r="53">
      <c r="A53" s="29">
        <v>45841.0</v>
      </c>
      <c r="B53" s="6" t="s">
        <v>484</v>
      </c>
      <c r="C53" s="4">
        <v>-1675.17</v>
      </c>
      <c r="D53" s="9" t="s">
        <v>128</v>
      </c>
    </row>
    <row r="54">
      <c r="A54" s="29">
        <v>45841.0</v>
      </c>
      <c r="B54" s="6" t="s">
        <v>117</v>
      </c>
      <c r="C54" s="4">
        <v>116.46</v>
      </c>
      <c r="D54" s="9" t="s">
        <v>110</v>
      </c>
    </row>
    <row r="55">
      <c r="A55" s="29">
        <v>45841.0</v>
      </c>
      <c r="B55" s="6" t="s">
        <v>420</v>
      </c>
      <c r="C55" s="4">
        <v>53.23</v>
      </c>
      <c r="D55" s="9" t="s">
        <v>137</v>
      </c>
    </row>
    <row r="56">
      <c r="A56" s="29">
        <v>45840.0</v>
      </c>
      <c r="B56" s="6" t="s">
        <v>185</v>
      </c>
      <c r="C56" s="4">
        <v>307.25</v>
      </c>
      <c r="D56" s="9" t="s">
        <v>131</v>
      </c>
    </row>
    <row r="57">
      <c r="A57" s="29">
        <v>45840.0</v>
      </c>
      <c r="B57" s="6" t="s">
        <v>417</v>
      </c>
      <c r="C57" s="4">
        <v>35.99</v>
      </c>
      <c r="D57" s="9" t="s">
        <v>110</v>
      </c>
    </row>
    <row r="58">
      <c r="A58" s="29">
        <v>45839.0</v>
      </c>
      <c r="B58" s="6" t="s">
        <v>485</v>
      </c>
      <c r="C58" s="4">
        <v>5.85</v>
      </c>
      <c r="D58" s="9" t="s">
        <v>134</v>
      </c>
    </row>
    <row r="59">
      <c r="A59" s="29">
        <v>45839.0</v>
      </c>
      <c r="B59" s="6" t="s">
        <v>311</v>
      </c>
      <c r="C59" s="4">
        <v>1675.17</v>
      </c>
      <c r="D59" s="9" t="s">
        <v>164</v>
      </c>
    </row>
    <row r="60">
      <c r="A60" s="29">
        <v>45839.0</v>
      </c>
      <c r="B60" s="6" t="s">
        <v>458</v>
      </c>
      <c r="C60" s="4">
        <v>31.39</v>
      </c>
      <c r="D60" s="9" t="s">
        <v>164</v>
      </c>
    </row>
    <row r="61">
      <c r="A61" s="29">
        <v>45839.0</v>
      </c>
      <c r="B61" s="6" t="s">
        <v>486</v>
      </c>
      <c r="C61" s="4">
        <v>32.85</v>
      </c>
      <c r="D61" s="9" t="s">
        <v>134</v>
      </c>
    </row>
    <row r="62">
      <c r="A62" s="30">
        <v>45859.0</v>
      </c>
      <c r="B62" s="6" t="s">
        <v>487</v>
      </c>
      <c r="C62" s="4">
        <v>101.69</v>
      </c>
      <c r="D62" s="9" t="s">
        <v>147</v>
      </c>
    </row>
    <row r="63">
      <c r="A63" s="30">
        <v>45858.0</v>
      </c>
      <c r="B63" s="6" t="s">
        <v>488</v>
      </c>
      <c r="C63" s="4">
        <v>11.29</v>
      </c>
      <c r="D63" s="9" t="s">
        <v>126</v>
      </c>
    </row>
    <row r="64">
      <c r="A64" s="30">
        <v>45856.0</v>
      </c>
      <c r="B64" s="26" t="s">
        <v>142</v>
      </c>
      <c r="C64" s="4">
        <v>14.68</v>
      </c>
      <c r="D64" s="9" t="s">
        <v>124</v>
      </c>
    </row>
    <row r="65">
      <c r="A65" s="30">
        <v>45856.0</v>
      </c>
      <c r="B65" s="26" t="s">
        <v>142</v>
      </c>
      <c r="C65" s="4">
        <v>52.52</v>
      </c>
      <c r="D65" s="9" t="s">
        <v>124</v>
      </c>
    </row>
    <row r="66">
      <c r="A66" s="30">
        <v>45853.0</v>
      </c>
      <c r="B66" s="6" t="s">
        <v>488</v>
      </c>
      <c r="C66" s="4">
        <v>1.12</v>
      </c>
      <c r="D66" s="9" t="s">
        <v>126</v>
      </c>
    </row>
    <row r="67">
      <c r="A67" s="30">
        <v>45845.0</v>
      </c>
      <c r="B67" s="6" t="s">
        <v>489</v>
      </c>
      <c r="C67" s="4">
        <v>54.4</v>
      </c>
      <c r="D67" s="9" t="s">
        <v>116</v>
      </c>
    </row>
    <row r="68">
      <c r="A68" s="30">
        <v>45844.0</v>
      </c>
      <c r="B68" s="6" t="s">
        <v>490</v>
      </c>
      <c r="C68" s="4">
        <v>15.95</v>
      </c>
      <c r="D68" s="9" t="s">
        <v>134</v>
      </c>
    </row>
    <row r="69">
      <c r="A69" s="30">
        <v>45843.0</v>
      </c>
      <c r="B69" s="6" t="s">
        <v>491</v>
      </c>
      <c r="C69" s="4">
        <v>7.91</v>
      </c>
      <c r="D69" s="9" t="s">
        <v>141</v>
      </c>
    </row>
    <row r="70">
      <c r="A70" s="30">
        <v>45843.0</v>
      </c>
      <c r="B70" s="26" t="s">
        <v>142</v>
      </c>
      <c r="C70" s="4">
        <v>10.16</v>
      </c>
      <c r="D70" s="9" t="s">
        <v>124</v>
      </c>
    </row>
    <row r="71">
      <c r="A71" s="30">
        <v>45843.0</v>
      </c>
      <c r="B71" s="6" t="s">
        <v>492</v>
      </c>
      <c r="C71" s="4">
        <v>28.44</v>
      </c>
      <c r="D71" s="9" t="s">
        <v>141</v>
      </c>
    </row>
    <row r="72">
      <c r="A72" s="30">
        <v>45841.0</v>
      </c>
      <c r="B72" s="6" t="s">
        <v>229</v>
      </c>
      <c r="C72" s="4">
        <v>55.27</v>
      </c>
      <c r="D72" s="9" t="s">
        <v>134</v>
      </c>
    </row>
    <row r="73">
      <c r="A73" s="30">
        <v>45840.0</v>
      </c>
      <c r="B73" s="6" t="s">
        <v>493</v>
      </c>
      <c r="C73" s="4">
        <v>30.77</v>
      </c>
      <c r="D73" s="9" t="s">
        <v>145</v>
      </c>
    </row>
    <row r="74">
      <c r="A74" s="30">
        <v>45839.0</v>
      </c>
      <c r="B74" s="26" t="s">
        <v>142</v>
      </c>
      <c r="C74" s="4">
        <v>116.37</v>
      </c>
      <c r="D74" s="9" t="s">
        <v>124</v>
      </c>
    </row>
    <row r="75">
      <c r="A75" s="30">
        <v>45839.0</v>
      </c>
      <c r="B75" s="6" t="s">
        <v>385</v>
      </c>
      <c r="C75" s="4">
        <v>56.5</v>
      </c>
      <c r="D75" s="9" t="s">
        <v>326</v>
      </c>
    </row>
    <row r="76">
      <c r="A76" s="24">
        <v>45869.0</v>
      </c>
      <c r="B76" s="6" t="s">
        <v>185</v>
      </c>
      <c r="C76" s="4">
        <v>28.97</v>
      </c>
      <c r="D76" s="9" t="s">
        <v>131</v>
      </c>
    </row>
    <row r="77">
      <c r="A77" s="24">
        <v>45868.0</v>
      </c>
      <c r="B77" s="6" t="s">
        <v>494</v>
      </c>
      <c r="C77" s="4">
        <v>146.21</v>
      </c>
      <c r="D77" s="9" t="s">
        <v>228</v>
      </c>
    </row>
    <row r="78">
      <c r="A78" s="24">
        <v>45868.0</v>
      </c>
      <c r="B78" s="6" t="s">
        <v>494</v>
      </c>
      <c r="C78" s="4">
        <v>151.61</v>
      </c>
      <c r="D78" s="9" t="s">
        <v>228</v>
      </c>
    </row>
    <row r="79">
      <c r="A79" s="24">
        <v>45867.0</v>
      </c>
      <c r="B79" s="6" t="s">
        <v>495</v>
      </c>
      <c r="C79" s="4">
        <v>71.82</v>
      </c>
      <c r="D79" s="9" t="s">
        <v>134</v>
      </c>
    </row>
    <row r="80">
      <c r="A80" s="24">
        <v>45867.0</v>
      </c>
      <c r="B80" s="6" t="s">
        <v>185</v>
      </c>
      <c r="C80" s="4">
        <v>28.97</v>
      </c>
      <c r="D80" s="9" t="s">
        <v>131</v>
      </c>
    </row>
    <row r="81">
      <c r="A81" s="24">
        <v>45867.0</v>
      </c>
      <c r="B81" s="6" t="s">
        <v>483</v>
      </c>
      <c r="C81" s="4">
        <v>15.0</v>
      </c>
      <c r="D81" s="9" t="s">
        <v>317</v>
      </c>
    </row>
    <row r="82">
      <c r="A82" s="24">
        <v>45866.0</v>
      </c>
      <c r="B82" s="6" t="s">
        <v>209</v>
      </c>
      <c r="C82" s="4">
        <v>37.84</v>
      </c>
      <c r="D82" s="9" t="s">
        <v>139</v>
      </c>
    </row>
    <row r="83">
      <c r="A83" s="24">
        <v>45865.0</v>
      </c>
      <c r="B83" s="6" t="s">
        <v>496</v>
      </c>
      <c r="C83" s="4">
        <v>47.75</v>
      </c>
      <c r="D83" s="9" t="s">
        <v>137</v>
      </c>
    </row>
    <row r="84">
      <c r="A84" s="24">
        <v>45864.0</v>
      </c>
      <c r="B84" s="6" t="s">
        <v>497</v>
      </c>
      <c r="C84" s="4">
        <v>24.36</v>
      </c>
      <c r="D84" s="9" t="s">
        <v>137</v>
      </c>
    </row>
    <row r="85">
      <c r="A85" s="24">
        <v>45863.0</v>
      </c>
      <c r="B85" s="6" t="s">
        <v>498</v>
      </c>
      <c r="C85" s="4">
        <v>68.79</v>
      </c>
      <c r="D85" s="9" t="s">
        <v>268</v>
      </c>
    </row>
    <row r="86">
      <c r="A86" s="24">
        <v>45863.0</v>
      </c>
      <c r="B86" s="6" t="s">
        <v>499</v>
      </c>
      <c r="C86" s="4">
        <v>29.58</v>
      </c>
      <c r="D86" s="9" t="s">
        <v>134</v>
      </c>
    </row>
    <row r="87">
      <c r="A87" s="24">
        <v>45863.0</v>
      </c>
      <c r="B87" s="6" t="s">
        <v>500</v>
      </c>
      <c r="C87" s="4">
        <v>3.1</v>
      </c>
      <c r="D87" s="9" t="s">
        <v>135</v>
      </c>
    </row>
    <row r="88">
      <c r="A88" s="24">
        <v>45863.0</v>
      </c>
      <c r="B88" s="6" t="s">
        <v>501</v>
      </c>
      <c r="C88" s="4">
        <v>249.17</v>
      </c>
      <c r="D88" s="9" t="s">
        <v>164</v>
      </c>
    </row>
    <row r="89">
      <c r="A89" s="24">
        <v>45862.0</v>
      </c>
      <c r="B89" s="6" t="s">
        <v>185</v>
      </c>
      <c r="C89" s="4">
        <v>28.97</v>
      </c>
      <c r="D89" s="9" t="s">
        <v>131</v>
      </c>
    </row>
    <row r="90">
      <c r="A90" s="24">
        <v>45862.0</v>
      </c>
      <c r="B90" s="6" t="s">
        <v>388</v>
      </c>
      <c r="C90" s="4">
        <v>38.78</v>
      </c>
      <c r="D90" s="9" t="s">
        <v>137</v>
      </c>
    </row>
    <row r="91">
      <c r="A91" s="24">
        <v>45862.0</v>
      </c>
      <c r="B91" s="6" t="s">
        <v>502</v>
      </c>
      <c r="C91" s="4">
        <v>8.99</v>
      </c>
      <c r="D91" s="9" t="s">
        <v>123</v>
      </c>
    </row>
    <row r="92">
      <c r="A92" s="24">
        <v>45862.0</v>
      </c>
      <c r="B92" s="6" t="s">
        <v>113</v>
      </c>
      <c r="C92" s="4">
        <v>20.22</v>
      </c>
      <c r="D92" s="9" t="s">
        <v>114</v>
      </c>
    </row>
    <row r="93">
      <c r="A93" s="24">
        <v>45860.0</v>
      </c>
      <c r="B93" s="6" t="s">
        <v>178</v>
      </c>
      <c r="C93" s="4">
        <v>14.68</v>
      </c>
      <c r="D93" s="9" t="s">
        <v>124</v>
      </c>
    </row>
    <row r="94">
      <c r="A94" s="24">
        <v>45860.0</v>
      </c>
      <c r="B94" s="6" t="s">
        <v>178</v>
      </c>
      <c r="C94" s="4">
        <v>28.24</v>
      </c>
      <c r="D94" s="9" t="s">
        <v>124</v>
      </c>
    </row>
    <row r="95">
      <c r="A95" s="24">
        <v>45857.0</v>
      </c>
      <c r="B95" s="6" t="s">
        <v>160</v>
      </c>
      <c r="C95" s="4">
        <v>172.96</v>
      </c>
      <c r="D95" s="9" t="s">
        <v>153</v>
      </c>
    </row>
    <row r="96">
      <c r="A96" s="24">
        <v>45857.0</v>
      </c>
      <c r="B96" s="6" t="s">
        <v>154</v>
      </c>
      <c r="C96" s="4">
        <v>11.39</v>
      </c>
      <c r="D96" s="9" t="s">
        <v>155</v>
      </c>
    </row>
    <row r="97">
      <c r="A97" s="24">
        <v>45868.0</v>
      </c>
      <c r="B97" s="6" t="s">
        <v>213</v>
      </c>
      <c r="C97" s="4">
        <v>-980.82</v>
      </c>
      <c r="D97" s="9" t="s">
        <v>128</v>
      </c>
    </row>
    <row r="98">
      <c r="A98" s="24">
        <v>45867.0</v>
      </c>
      <c r="B98" s="6" t="s">
        <v>503</v>
      </c>
      <c r="C98" s="4">
        <v>24.0</v>
      </c>
      <c r="D98" s="9" t="s">
        <v>147</v>
      </c>
    </row>
    <row r="99">
      <c r="A99" s="24">
        <v>45866.0</v>
      </c>
      <c r="B99" s="6" t="s">
        <v>504</v>
      </c>
      <c r="C99" s="4">
        <v>203.4</v>
      </c>
      <c r="D99" s="9" t="s">
        <v>228</v>
      </c>
    </row>
    <row r="100">
      <c r="A100" s="24">
        <v>45865.0</v>
      </c>
      <c r="B100" s="6" t="s">
        <v>505</v>
      </c>
      <c r="C100" s="4">
        <v>28.57</v>
      </c>
      <c r="D100" s="9" t="s">
        <v>134</v>
      </c>
    </row>
    <row r="101">
      <c r="A101" s="24">
        <v>45865.0</v>
      </c>
      <c r="B101" s="6" t="s">
        <v>506</v>
      </c>
      <c r="C101" s="4">
        <v>25.6</v>
      </c>
      <c r="D101" s="9" t="s">
        <v>131</v>
      </c>
    </row>
    <row r="102">
      <c r="A102" s="24">
        <v>45865.0</v>
      </c>
      <c r="B102" s="6" t="s">
        <v>408</v>
      </c>
      <c r="C102" s="4">
        <v>44.18</v>
      </c>
      <c r="D102" s="9" t="s">
        <v>134</v>
      </c>
    </row>
    <row r="103">
      <c r="A103" s="24">
        <v>45865.0</v>
      </c>
      <c r="B103" s="6" t="s">
        <v>507</v>
      </c>
      <c r="C103" s="4">
        <v>6.53</v>
      </c>
      <c r="D103" s="9" t="s">
        <v>134</v>
      </c>
    </row>
    <row r="104">
      <c r="A104" s="24">
        <v>45865.0</v>
      </c>
      <c r="B104" s="6" t="s">
        <v>508</v>
      </c>
      <c r="C104" s="4">
        <v>14.4</v>
      </c>
      <c r="D104" s="9" t="s">
        <v>134</v>
      </c>
    </row>
    <row r="105">
      <c r="A105" s="24">
        <v>45864.0</v>
      </c>
      <c r="B105" s="6" t="s">
        <v>509</v>
      </c>
      <c r="C105" s="4">
        <v>50.14</v>
      </c>
      <c r="D105" s="9" t="s">
        <v>137</v>
      </c>
    </row>
    <row r="106">
      <c r="A106" s="24">
        <v>45864.0</v>
      </c>
      <c r="B106" s="6" t="s">
        <v>508</v>
      </c>
      <c r="C106" s="4">
        <v>44.15</v>
      </c>
      <c r="D106" s="9" t="s">
        <v>134</v>
      </c>
    </row>
    <row r="107">
      <c r="A107" s="24">
        <v>45864.0</v>
      </c>
      <c r="B107" s="6" t="s">
        <v>510</v>
      </c>
      <c r="C107" s="4">
        <v>54.0</v>
      </c>
      <c r="D107" s="9" t="s">
        <v>134</v>
      </c>
    </row>
    <row r="108">
      <c r="A108" s="24">
        <v>45863.0</v>
      </c>
      <c r="B108" s="6" t="s">
        <v>511</v>
      </c>
      <c r="C108" s="4">
        <v>44.06</v>
      </c>
      <c r="D108" s="9" t="s">
        <v>116</v>
      </c>
    </row>
    <row r="109">
      <c r="A109" s="24"/>
    </row>
  </sheetData>
  <autoFilter ref="$A$1:$Y$831">
    <sortState ref="A1:Y831">
      <sortCondition ref="D1:D831"/>
      <sortCondition descending="1" ref="A1:A831"/>
    </sortState>
  </autoFilter>
  <dataValidations>
    <dataValidation type="list" allowBlank="1" showErrorMessage="1" sqref="D2:D108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SUB"</formula1>
    </dataValidation>
  </dataValidations>
  <hyperlinks>
    <hyperlink r:id="rId2" ref="B64"/>
    <hyperlink r:id="rId3" ref="B65"/>
    <hyperlink r:id="rId4" ref="B70"/>
    <hyperlink r:id="rId5" ref="B74"/>
  </hyperlinks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45879.0</v>
      </c>
      <c r="B2" s="6" t="s">
        <v>178</v>
      </c>
      <c r="C2" s="4">
        <v>4.51</v>
      </c>
      <c r="D2" s="9" t="s">
        <v>124</v>
      </c>
    </row>
    <row r="3">
      <c r="A3" s="24">
        <v>45879.0</v>
      </c>
      <c r="B3" s="6" t="s">
        <v>512</v>
      </c>
      <c r="C3" s="4">
        <v>12.99</v>
      </c>
      <c r="D3" s="9" t="s">
        <v>145</v>
      </c>
    </row>
    <row r="4">
      <c r="A4" s="29">
        <v>45878.0</v>
      </c>
      <c r="B4" s="6" t="s">
        <v>513</v>
      </c>
      <c r="C4" s="4">
        <v>24.57</v>
      </c>
      <c r="D4" s="9" t="s">
        <v>268</v>
      </c>
    </row>
    <row r="5">
      <c r="A5" s="29">
        <v>45877.0</v>
      </c>
      <c r="B5" s="6" t="s">
        <v>117</v>
      </c>
      <c r="C5" s="4">
        <v>49.95</v>
      </c>
      <c r="D5" s="9" t="s">
        <v>110</v>
      </c>
    </row>
    <row r="6">
      <c r="A6" s="29">
        <v>45877.0</v>
      </c>
      <c r="B6" s="6" t="s">
        <v>233</v>
      </c>
      <c r="C6" s="4">
        <v>107.35</v>
      </c>
      <c r="D6" s="9" t="s">
        <v>158</v>
      </c>
    </row>
    <row r="7">
      <c r="A7" s="29">
        <v>45876.0</v>
      </c>
      <c r="B7" s="6" t="s">
        <v>185</v>
      </c>
      <c r="C7" s="4">
        <v>11.01</v>
      </c>
      <c r="D7" s="9" t="s">
        <v>131</v>
      </c>
    </row>
    <row r="8">
      <c r="A8" s="29">
        <v>45876.0</v>
      </c>
      <c r="B8" s="6" t="s">
        <v>185</v>
      </c>
      <c r="C8" s="4">
        <v>28.97</v>
      </c>
      <c r="D8" s="9" t="s">
        <v>131</v>
      </c>
    </row>
    <row r="9">
      <c r="A9" s="29">
        <v>45876.0</v>
      </c>
      <c r="B9" s="6" t="s">
        <v>117</v>
      </c>
      <c r="C9" s="4">
        <v>56.85</v>
      </c>
      <c r="D9" s="9" t="s">
        <v>110</v>
      </c>
    </row>
    <row r="10">
      <c r="A10" s="29">
        <v>45875.0</v>
      </c>
      <c r="B10" s="6" t="s">
        <v>476</v>
      </c>
      <c r="C10" s="4">
        <v>22.58</v>
      </c>
      <c r="D10" s="9" t="s">
        <v>139</v>
      </c>
    </row>
    <row r="11">
      <c r="A11" s="29">
        <v>45875.0</v>
      </c>
      <c r="B11" s="6" t="s">
        <v>417</v>
      </c>
      <c r="C11" s="4">
        <v>35.99</v>
      </c>
      <c r="D11" s="9" t="s">
        <v>110</v>
      </c>
    </row>
    <row r="12">
      <c r="A12" s="29">
        <v>45874.0</v>
      </c>
      <c r="B12" s="6" t="s">
        <v>185</v>
      </c>
      <c r="C12" s="4">
        <v>28.97</v>
      </c>
      <c r="D12" s="9" t="s">
        <v>131</v>
      </c>
    </row>
    <row r="13">
      <c r="A13" s="29">
        <v>45873.0</v>
      </c>
      <c r="B13" s="6" t="s">
        <v>390</v>
      </c>
      <c r="C13" s="4">
        <v>48.82</v>
      </c>
      <c r="D13" s="9" t="s">
        <v>139</v>
      </c>
    </row>
    <row r="14">
      <c r="A14" s="29">
        <v>45873.0</v>
      </c>
      <c r="B14" s="6" t="s">
        <v>476</v>
      </c>
      <c r="C14" s="4">
        <v>28.36</v>
      </c>
      <c r="D14" s="9" t="s">
        <v>139</v>
      </c>
    </row>
    <row r="15">
      <c r="A15" s="29">
        <v>45872.0</v>
      </c>
      <c r="B15" s="6" t="s">
        <v>514</v>
      </c>
      <c r="C15" s="4">
        <v>54.55</v>
      </c>
      <c r="D15" s="9" t="s">
        <v>137</v>
      </c>
    </row>
    <row r="16">
      <c r="A16" s="29">
        <v>45872.0</v>
      </c>
      <c r="B16" s="6" t="s">
        <v>515</v>
      </c>
      <c r="C16" s="4">
        <v>5.04</v>
      </c>
      <c r="D16" s="9" t="s">
        <v>135</v>
      </c>
    </row>
    <row r="17">
      <c r="A17" s="29">
        <v>45871.0</v>
      </c>
      <c r="B17" s="6" t="s">
        <v>516</v>
      </c>
      <c r="C17" s="4">
        <v>18.84</v>
      </c>
      <c r="D17" s="9" t="s">
        <v>137</v>
      </c>
    </row>
    <row r="18">
      <c r="A18" s="29">
        <v>45871.0</v>
      </c>
      <c r="B18" s="6" t="s">
        <v>517</v>
      </c>
      <c r="C18" s="4">
        <v>7.5</v>
      </c>
      <c r="D18" s="9" t="s">
        <v>137</v>
      </c>
    </row>
    <row r="19">
      <c r="A19" s="29">
        <v>45871.0</v>
      </c>
      <c r="B19" s="6" t="s">
        <v>518</v>
      </c>
      <c r="C19" s="4">
        <v>73.22</v>
      </c>
      <c r="D19" s="9" t="s">
        <v>268</v>
      </c>
    </row>
    <row r="20">
      <c r="A20" s="29">
        <v>45871.0</v>
      </c>
      <c r="B20" s="6" t="s">
        <v>154</v>
      </c>
      <c r="C20" s="4">
        <v>9.71</v>
      </c>
      <c r="D20" s="9" t="s">
        <v>155</v>
      </c>
    </row>
    <row r="21">
      <c r="A21" s="29">
        <v>45871.0</v>
      </c>
      <c r="B21" s="6" t="s">
        <v>154</v>
      </c>
      <c r="C21" s="4">
        <v>17.98</v>
      </c>
      <c r="D21" s="9" t="s">
        <v>155</v>
      </c>
    </row>
    <row r="22">
      <c r="A22" s="29">
        <v>45870.0</v>
      </c>
      <c r="B22" s="6" t="s">
        <v>117</v>
      </c>
      <c r="C22" s="4">
        <v>40.95</v>
      </c>
      <c r="D22" s="9" t="s">
        <v>110</v>
      </c>
    </row>
    <row r="23">
      <c r="A23" s="29">
        <v>45870.0</v>
      </c>
      <c r="B23" s="6" t="s">
        <v>117</v>
      </c>
      <c r="C23" s="4">
        <v>90.59</v>
      </c>
      <c r="D23" s="9" t="s">
        <v>110</v>
      </c>
    </row>
    <row r="24">
      <c r="A24" s="29">
        <v>45891.0</v>
      </c>
      <c r="B24" s="6" t="s">
        <v>519</v>
      </c>
      <c r="C24" s="4">
        <v>139.0</v>
      </c>
      <c r="D24" s="9" t="s">
        <v>145</v>
      </c>
    </row>
    <row r="25">
      <c r="A25" s="29">
        <v>45890.0</v>
      </c>
      <c r="B25" s="6" t="s">
        <v>520</v>
      </c>
      <c r="C25" s="4">
        <v>23.61</v>
      </c>
      <c r="D25" s="9" t="s">
        <v>110</v>
      </c>
    </row>
    <row r="26">
      <c r="A26" s="29">
        <v>45890.0</v>
      </c>
      <c r="B26" s="6" t="s">
        <v>488</v>
      </c>
      <c r="C26" s="4">
        <v>24.85</v>
      </c>
      <c r="D26" s="9" t="s">
        <v>126</v>
      </c>
    </row>
    <row r="27">
      <c r="A27" s="29">
        <v>45889.0</v>
      </c>
      <c r="B27" s="6" t="s">
        <v>488</v>
      </c>
      <c r="C27" s="4">
        <v>11.29</v>
      </c>
      <c r="D27" s="9" t="s">
        <v>126</v>
      </c>
    </row>
    <row r="28">
      <c r="A28" s="29">
        <v>45887.0</v>
      </c>
      <c r="B28" s="26" t="s">
        <v>142</v>
      </c>
      <c r="C28" s="4">
        <v>14.68</v>
      </c>
      <c r="D28" s="9" t="s">
        <v>124</v>
      </c>
    </row>
    <row r="29">
      <c r="A29" s="29">
        <v>45886.0</v>
      </c>
      <c r="B29" s="6" t="s">
        <v>520</v>
      </c>
      <c r="C29" s="4">
        <v>19.48</v>
      </c>
      <c r="D29" s="9" t="s">
        <v>110</v>
      </c>
    </row>
    <row r="30">
      <c r="A30" s="29">
        <v>45885.0</v>
      </c>
      <c r="B30" s="6" t="s">
        <v>245</v>
      </c>
      <c r="C30" s="4">
        <v>434.01</v>
      </c>
      <c r="D30" s="9" t="s">
        <v>521</v>
      </c>
    </row>
    <row r="31">
      <c r="A31" s="29">
        <v>45885.0</v>
      </c>
      <c r="B31" s="6" t="s">
        <v>522</v>
      </c>
      <c r="C31" s="4">
        <v>15.81</v>
      </c>
      <c r="D31" s="9" t="s">
        <v>317</v>
      </c>
    </row>
    <row r="32">
      <c r="A32" s="29">
        <v>45885.0</v>
      </c>
      <c r="B32" s="6" t="s">
        <v>159</v>
      </c>
      <c r="C32" s="4">
        <v>198.11</v>
      </c>
      <c r="D32" s="9" t="s">
        <v>110</v>
      </c>
    </row>
    <row r="33">
      <c r="A33" s="29">
        <v>45884.0</v>
      </c>
      <c r="B33" s="6" t="s">
        <v>488</v>
      </c>
      <c r="C33" s="4">
        <v>1.12</v>
      </c>
      <c r="D33" s="9" t="s">
        <v>126</v>
      </c>
    </row>
    <row r="34">
      <c r="A34" s="29">
        <v>45884.0</v>
      </c>
      <c r="B34" s="6" t="s">
        <v>523</v>
      </c>
      <c r="C34" s="4">
        <v>6.87</v>
      </c>
      <c r="D34" s="9" t="s">
        <v>134</v>
      </c>
    </row>
    <row r="35">
      <c r="A35" s="29">
        <v>45883.0</v>
      </c>
      <c r="B35" s="6" t="s">
        <v>408</v>
      </c>
      <c r="C35" s="4">
        <v>63.73</v>
      </c>
      <c r="D35" s="9" t="s">
        <v>134</v>
      </c>
    </row>
    <row r="36">
      <c r="A36" s="29">
        <v>45883.0</v>
      </c>
      <c r="B36" s="6" t="s">
        <v>520</v>
      </c>
      <c r="C36" s="4">
        <v>22.85</v>
      </c>
      <c r="D36" s="9" t="s">
        <v>110</v>
      </c>
    </row>
    <row r="37">
      <c r="A37" s="29">
        <v>45882.0</v>
      </c>
      <c r="B37" s="6" t="s">
        <v>173</v>
      </c>
      <c r="C37" s="4">
        <v>11.29</v>
      </c>
      <c r="D37" s="9" t="s">
        <v>126</v>
      </c>
    </row>
    <row r="38">
      <c r="A38" s="29">
        <v>45878.0</v>
      </c>
      <c r="B38" s="6" t="s">
        <v>488</v>
      </c>
      <c r="C38" s="4">
        <v>5.64</v>
      </c>
      <c r="D38" s="9" t="s">
        <v>126</v>
      </c>
    </row>
    <row r="39">
      <c r="A39" s="29">
        <v>45877.0</v>
      </c>
      <c r="B39" s="6" t="s">
        <v>524</v>
      </c>
      <c r="C39" s="4">
        <v>50.0</v>
      </c>
      <c r="D39" s="9" t="s">
        <v>132</v>
      </c>
    </row>
    <row r="40">
      <c r="A40" s="29">
        <v>45877.0</v>
      </c>
      <c r="B40" s="6" t="s">
        <v>525</v>
      </c>
      <c r="C40" s="4">
        <v>42.35</v>
      </c>
      <c r="D40" s="9" t="s">
        <v>134</v>
      </c>
    </row>
    <row r="41">
      <c r="A41" s="29">
        <v>45877.0</v>
      </c>
      <c r="B41" s="6" t="s">
        <v>526</v>
      </c>
      <c r="C41" s="4">
        <v>57.0</v>
      </c>
      <c r="D41" s="9" t="s">
        <v>145</v>
      </c>
    </row>
    <row r="42">
      <c r="A42" s="29">
        <v>45876.0</v>
      </c>
      <c r="B42" s="6" t="s">
        <v>488</v>
      </c>
      <c r="C42" s="4">
        <v>12.42</v>
      </c>
      <c r="D42" s="9" t="s">
        <v>126</v>
      </c>
    </row>
    <row r="43">
      <c r="A43" s="29">
        <v>45875.0</v>
      </c>
      <c r="B43" s="6" t="s">
        <v>200</v>
      </c>
      <c r="C43" s="4">
        <v>7.44</v>
      </c>
      <c r="D43" s="9" t="s">
        <v>134</v>
      </c>
    </row>
    <row r="44">
      <c r="A44" s="29">
        <v>45874.0</v>
      </c>
      <c r="B44" s="6" t="s">
        <v>527</v>
      </c>
      <c r="C44" s="4">
        <v>45.19</v>
      </c>
      <c r="D44" s="9" t="s">
        <v>139</v>
      </c>
    </row>
    <row r="45">
      <c r="A45" s="29">
        <v>45874.0</v>
      </c>
      <c r="B45" s="26" t="s">
        <v>142</v>
      </c>
      <c r="C45" s="4">
        <v>10.16</v>
      </c>
      <c r="D45" s="9" t="s">
        <v>124</v>
      </c>
    </row>
    <row r="46">
      <c r="A46" s="29">
        <v>45870.0</v>
      </c>
      <c r="B46" s="26" t="s">
        <v>142</v>
      </c>
      <c r="C46" s="4">
        <v>3.38</v>
      </c>
      <c r="D46" s="9" t="s">
        <v>124</v>
      </c>
    </row>
    <row r="47">
      <c r="A47" s="29">
        <v>45870.0</v>
      </c>
      <c r="B47" s="6" t="s">
        <v>385</v>
      </c>
      <c r="C47" s="4">
        <v>56.5</v>
      </c>
      <c r="D47" s="9" t="s">
        <v>326</v>
      </c>
    </row>
    <row r="48">
      <c r="A48" s="24">
        <v>45900.0</v>
      </c>
      <c r="B48" s="6" t="s">
        <v>154</v>
      </c>
      <c r="C48" s="4">
        <v>12.4</v>
      </c>
      <c r="D48" s="9" t="s">
        <v>155</v>
      </c>
    </row>
    <row r="49">
      <c r="A49" s="24">
        <v>45899.0</v>
      </c>
      <c r="B49" s="6" t="s">
        <v>218</v>
      </c>
      <c r="C49" s="4">
        <v>20.88</v>
      </c>
      <c r="D49" s="9" t="s">
        <v>134</v>
      </c>
    </row>
    <row r="50">
      <c r="A50" s="24">
        <v>45899.0</v>
      </c>
      <c r="B50" s="6" t="s">
        <v>494</v>
      </c>
      <c r="C50" s="4">
        <v>146.21</v>
      </c>
      <c r="D50" s="9" t="s">
        <v>228</v>
      </c>
    </row>
    <row r="51">
      <c r="A51" s="24">
        <v>45899.0</v>
      </c>
      <c r="B51" s="6" t="s">
        <v>494</v>
      </c>
      <c r="C51" s="4">
        <v>151.61</v>
      </c>
      <c r="D51" s="9" t="s">
        <v>228</v>
      </c>
    </row>
    <row r="52">
      <c r="A52" s="24">
        <v>45898.0</v>
      </c>
      <c r="B52" s="6" t="s">
        <v>209</v>
      </c>
      <c r="C52" s="4">
        <v>15.84</v>
      </c>
      <c r="D52" s="9" t="s">
        <v>139</v>
      </c>
    </row>
    <row r="53">
      <c r="A53" s="24">
        <v>45897.0</v>
      </c>
      <c r="B53" s="6" t="s">
        <v>185</v>
      </c>
      <c r="C53" s="4">
        <v>85.47</v>
      </c>
      <c r="D53" s="9" t="s">
        <v>131</v>
      </c>
    </row>
    <row r="54">
      <c r="A54" s="24">
        <v>45897.0</v>
      </c>
      <c r="B54" s="6" t="s">
        <v>117</v>
      </c>
      <c r="C54" s="4">
        <v>60.51</v>
      </c>
      <c r="D54" s="9" t="s">
        <v>110</v>
      </c>
    </row>
    <row r="55">
      <c r="A55" s="24">
        <v>45897.0</v>
      </c>
      <c r="B55" s="6" t="s">
        <v>269</v>
      </c>
      <c r="C55" s="4">
        <v>-44.0</v>
      </c>
      <c r="D55" s="9" t="s">
        <v>128</v>
      </c>
    </row>
    <row r="56">
      <c r="A56" s="24">
        <v>45896.0</v>
      </c>
      <c r="B56" s="6" t="s">
        <v>528</v>
      </c>
      <c r="C56" s="4">
        <v>120.0</v>
      </c>
      <c r="D56" s="9" t="s">
        <v>123</v>
      </c>
    </row>
    <row r="57">
      <c r="A57" s="24">
        <v>45896.0</v>
      </c>
      <c r="B57" s="6" t="s">
        <v>529</v>
      </c>
      <c r="C57" s="4">
        <v>723.26</v>
      </c>
      <c r="D57" s="9" t="s">
        <v>139</v>
      </c>
    </row>
    <row r="58">
      <c r="A58" s="24">
        <v>45896.0</v>
      </c>
      <c r="B58" s="6" t="s">
        <v>417</v>
      </c>
      <c r="C58" s="4">
        <v>35.99</v>
      </c>
      <c r="D58" s="9" t="s">
        <v>110</v>
      </c>
    </row>
    <row r="59">
      <c r="A59" s="24">
        <v>45895.0</v>
      </c>
      <c r="B59" s="6" t="s">
        <v>185</v>
      </c>
      <c r="C59" s="4">
        <v>28.97</v>
      </c>
      <c r="D59" s="9" t="s">
        <v>131</v>
      </c>
    </row>
    <row r="60">
      <c r="A60" s="24">
        <v>45895.0</v>
      </c>
      <c r="B60" s="6" t="s">
        <v>530</v>
      </c>
      <c r="C60" s="4">
        <v>41.84</v>
      </c>
      <c r="D60" s="9" t="s">
        <v>110</v>
      </c>
    </row>
    <row r="61">
      <c r="A61" s="24">
        <v>45894.0</v>
      </c>
      <c r="B61" s="6" t="s">
        <v>531</v>
      </c>
      <c r="C61" s="4">
        <v>98.54</v>
      </c>
      <c r="D61" s="9" t="s">
        <v>139</v>
      </c>
    </row>
    <row r="62">
      <c r="A62" s="24">
        <v>45894.0</v>
      </c>
      <c r="B62" s="6" t="s">
        <v>532</v>
      </c>
      <c r="C62" s="4">
        <v>42.33</v>
      </c>
      <c r="D62" s="9" t="s">
        <v>134</v>
      </c>
    </row>
    <row r="63">
      <c r="A63" s="24">
        <v>45893.0</v>
      </c>
      <c r="B63" s="6" t="s">
        <v>533</v>
      </c>
      <c r="C63" s="4">
        <v>92.91</v>
      </c>
      <c r="D63" s="9" t="s">
        <v>139</v>
      </c>
    </row>
    <row r="64">
      <c r="A64" s="24">
        <v>45892.0</v>
      </c>
      <c r="B64" s="6" t="s">
        <v>534</v>
      </c>
      <c r="C64" s="4">
        <v>16.95</v>
      </c>
      <c r="D64" s="9" t="s">
        <v>134</v>
      </c>
    </row>
    <row r="65">
      <c r="A65" s="24">
        <v>45892.0</v>
      </c>
      <c r="B65" s="6" t="s">
        <v>535</v>
      </c>
      <c r="C65" s="4">
        <v>44.07</v>
      </c>
      <c r="D65" s="9" t="s">
        <v>147</v>
      </c>
    </row>
    <row r="66">
      <c r="A66" s="24">
        <v>45892.0</v>
      </c>
      <c r="B66" s="6" t="s">
        <v>536</v>
      </c>
      <c r="C66" s="4">
        <v>10.15</v>
      </c>
      <c r="D66" s="9" t="s">
        <v>134</v>
      </c>
    </row>
    <row r="67">
      <c r="A67" s="24">
        <v>45892.0</v>
      </c>
      <c r="B67" s="6" t="s">
        <v>148</v>
      </c>
      <c r="C67" s="4">
        <v>126.9</v>
      </c>
      <c r="D67" s="9" t="s">
        <v>135</v>
      </c>
    </row>
    <row r="68">
      <c r="A68" s="24">
        <v>45892.0</v>
      </c>
      <c r="B68" s="6" t="s">
        <v>537</v>
      </c>
      <c r="C68" s="4">
        <v>180.67</v>
      </c>
      <c r="D68" s="9" t="s">
        <v>147</v>
      </c>
    </row>
    <row r="69">
      <c r="A69" s="24">
        <v>45892.0</v>
      </c>
      <c r="B69" s="6" t="s">
        <v>538</v>
      </c>
      <c r="C69" s="4">
        <v>21.0</v>
      </c>
      <c r="D69" s="9" t="s">
        <v>268</v>
      </c>
    </row>
    <row r="70">
      <c r="A70" s="24">
        <v>45892.0</v>
      </c>
      <c r="B70" s="6" t="s">
        <v>539</v>
      </c>
      <c r="C70" s="4">
        <v>67.84</v>
      </c>
      <c r="D70" s="9" t="s">
        <v>110</v>
      </c>
    </row>
    <row r="71">
      <c r="A71" s="24">
        <v>45891.0</v>
      </c>
      <c r="B71" s="6" t="s">
        <v>178</v>
      </c>
      <c r="C71" s="4">
        <v>14.68</v>
      </c>
      <c r="D71" s="9" t="s">
        <v>124</v>
      </c>
    </row>
    <row r="72">
      <c r="A72" s="24">
        <v>45891.0</v>
      </c>
      <c r="B72" s="6" t="s">
        <v>540</v>
      </c>
      <c r="C72" s="4">
        <v>19.49</v>
      </c>
      <c r="D72" s="9" t="s">
        <v>134</v>
      </c>
    </row>
    <row r="73">
      <c r="A73" s="24">
        <v>45890.0</v>
      </c>
      <c r="B73" s="6" t="s">
        <v>185</v>
      </c>
      <c r="C73" s="4">
        <v>28.97</v>
      </c>
      <c r="D73" s="9" t="s">
        <v>131</v>
      </c>
    </row>
    <row r="74">
      <c r="A74" s="24">
        <v>45889.0</v>
      </c>
      <c r="B74" s="6" t="s">
        <v>417</v>
      </c>
      <c r="C74" s="4">
        <v>35.99</v>
      </c>
      <c r="D74" s="9" t="s">
        <v>110</v>
      </c>
    </row>
    <row r="75">
      <c r="A75" s="24">
        <v>45888.0</v>
      </c>
      <c r="B75" s="6" t="s">
        <v>185</v>
      </c>
      <c r="C75" s="4">
        <v>28.97</v>
      </c>
      <c r="D75" s="9" t="s">
        <v>131</v>
      </c>
    </row>
    <row r="76">
      <c r="A76" s="24">
        <v>45888.0</v>
      </c>
      <c r="B76" s="6" t="s">
        <v>189</v>
      </c>
      <c r="C76" s="4">
        <v>425.4</v>
      </c>
      <c r="D76" s="9" t="s">
        <v>121</v>
      </c>
    </row>
    <row r="77">
      <c r="A77" s="24">
        <v>45888.0</v>
      </c>
      <c r="B77" s="6" t="s">
        <v>160</v>
      </c>
      <c r="C77" s="4">
        <v>118.72</v>
      </c>
      <c r="D77" s="9" t="s">
        <v>153</v>
      </c>
    </row>
    <row r="78">
      <c r="A78" s="24">
        <v>45886.0</v>
      </c>
      <c r="B78" s="6" t="s">
        <v>195</v>
      </c>
      <c r="C78" s="4">
        <v>-2006.7</v>
      </c>
      <c r="D78" s="9" t="s">
        <v>128</v>
      </c>
    </row>
    <row r="79">
      <c r="A79" s="24">
        <v>45886.0</v>
      </c>
      <c r="B79" s="6" t="s">
        <v>113</v>
      </c>
      <c r="C79" s="4">
        <v>36.02</v>
      </c>
      <c r="D79" s="9" t="s">
        <v>114</v>
      </c>
    </row>
    <row r="80">
      <c r="A80" s="24">
        <v>45885.0</v>
      </c>
      <c r="B80" s="6" t="s">
        <v>338</v>
      </c>
      <c r="C80" s="4">
        <v>28.57</v>
      </c>
      <c r="D80" s="9" t="s">
        <v>134</v>
      </c>
    </row>
    <row r="81">
      <c r="A81" s="24">
        <v>45884.0</v>
      </c>
      <c r="B81" s="6" t="s">
        <v>178</v>
      </c>
      <c r="C81" s="4">
        <v>28.24</v>
      </c>
      <c r="D81" s="9" t="s">
        <v>124</v>
      </c>
    </row>
    <row r="82">
      <c r="A82" s="24">
        <v>45884.0</v>
      </c>
      <c r="B82" s="6" t="s">
        <v>541</v>
      </c>
      <c r="C82" s="4">
        <v>45.2</v>
      </c>
      <c r="D82" s="9" t="s">
        <v>112</v>
      </c>
    </row>
    <row r="83">
      <c r="A83" s="24">
        <v>45884.0</v>
      </c>
      <c r="B83" s="6" t="s">
        <v>542</v>
      </c>
      <c r="C83" s="4">
        <v>53.18</v>
      </c>
      <c r="D83" s="9" t="s">
        <v>137</v>
      </c>
    </row>
    <row r="84">
      <c r="A84" s="24">
        <v>45883.0</v>
      </c>
      <c r="B84" s="6" t="s">
        <v>185</v>
      </c>
      <c r="C84" s="4">
        <v>45.91</v>
      </c>
      <c r="D84" s="9" t="s">
        <v>131</v>
      </c>
    </row>
    <row r="85">
      <c r="A85" s="24">
        <v>45881.0</v>
      </c>
      <c r="B85" s="6" t="s">
        <v>185</v>
      </c>
      <c r="C85" s="4">
        <v>28.97</v>
      </c>
      <c r="D85" s="9" t="s">
        <v>131</v>
      </c>
    </row>
    <row r="86">
      <c r="A86" s="24">
        <v>45881.0</v>
      </c>
      <c r="B86" s="6" t="s">
        <v>117</v>
      </c>
      <c r="C86" s="4">
        <v>109.5</v>
      </c>
      <c r="D86" s="9" t="s">
        <v>110</v>
      </c>
    </row>
    <row r="87">
      <c r="A87" s="24">
        <v>45881.0</v>
      </c>
      <c r="B87" s="6" t="s">
        <v>269</v>
      </c>
      <c r="C87" s="4">
        <v>0.8</v>
      </c>
      <c r="D87" s="9" t="s">
        <v>110</v>
      </c>
    </row>
    <row r="88">
      <c r="A88" s="24">
        <v>45881.0</v>
      </c>
      <c r="B88" s="6" t="s">
        <v>269</v>
      </c>
      <c r="C88" s="4">
        <v>239.0</v>
      </c>
      <c r="D88" s="9" t="s">
        <v>110</v>
      </c>
    </row>
    <row r="89">
      <c r="A89" s="24">
        <v>45881.0</v>
      </c>
      <c r="B89" s="6" t="s">
        <v>417</v>
      </c>
      <c r="C89" s="4">
        <v>35.99</v>
      </c>
      <c r="D89" s="9" t="s">
        <v>110</v>
      </c>
    </row>
    <row r="90">
      <c r="A90" s="24">
        <v>45879.0</v>
      </c>
      <c r="B90" s="6" t="s">
        <v>543</v>
      </c>
      <c r="C90" s="4">
        <v>37.8</v>
      </c>
      <c r="D90" s="9" t="s">
        <v>268</v>
      </c>
    </row>
    <row r="91">
      <c r="A91" s="24">
        <v>45879.0</v>
      </c>
      <c r="B91" s="6" t="s">
        <v>544</v>
      </c>
      <c r="C91" s="4">
        <v>51.94</v>
      </c>
      <c r="D91" s="9" t="s">
        <v>137</v>
      </c>
    </row>
    <row r="92">
      <c r="A92" s="24">
        <v>45899.0</v>
      </c>
      <c r="B92" s="6" t="s">
        <v>545</v>
      </c>
      <c r="C92" s="4">
        <v>9.03</v>
      </c>
      <c r="D92" s="9" t="s">
        <v>147</v>
      </c>
    </row>
    <row r="93">
      <c r="A93" s="24">
        <v>45899.0</v>
      </c>
      <c r="B93" s="6" t="s">
        <v>546</v>
      </c>
      <c r="C93" s="4">
        <v>33.0</v>
      </c>
      <c r="D93" s="9" t="s">
        <v>268</v>
      </c>
    </row>
    <row r="94">
      <c r="A94" s="24">
        <v>45899.0</v>
      </c>
      <c r="B94" s="6" t="s">
        <v>546</v>
      </c>
      <c r="C94" s="4">
        <v>20.4</v>
      </c>
      <c r="D94" s="9" t="s">
        <v>268</v>
      </c>
    </row>
    <row r="95">
      <c r="A95" s="24">
        <v>45899.0</v>
      </c>
      <c r="B95" s="6" t="s">
        <v>546</v>
      </c>
      <c r="C95" s="4">
        <v>20.0</v>
      </c>
      <c r="D95" s="9" t="s">
        <v>268</v>
      </c>
    </row>
    <row r="96">
      <c r="A96" s="24">
        <v>45898.0</v>
      </c>
      <c r="B96" s="6" t="s">
        <v>547</v>
      </c>
      <c r="C96" s="4">
        <v>46.7</v>
      </c>
      <c r="D96" s="9" t="s">
        <v>134</v>
      </c>
    </row>
    <row r="97">
      <c r="A97" s="24">
        <v>45898.0</v>
      </c>
      <c r="B97" s="6" t="s">
        <v>548</v>
      </c>
      <c r="C97" s="4">
        <v>61.35</v>
      </c>
      <c r="D97" s="9" t="s">
        <v>268</v>
      </c>
    </row>
    <row r="98">
      <c r="A98" s="24">
        <v>45897.0</v>
      </c>
      <c r="B98" s="6" t="s">
        <v>213</v>
      </c>
      <c r="C98" s="4">
        <v>-1815.81</v>
      </c>
      <c r="D98" s="9" t="s">
        <v>128</v>
      </c>
    </row>
    <row r="99">
      <c r="A99" s="24">
        <v>45896.0</v>
      </c>
      <c r="B99" s="6" t="s">
        <v>200</v>
      </c>
      <c r="C99" s="4">
        <v>7.44</v>
      </c>
      <c r="D99" s="9" t="s">
        <v>134</v>
      </c>
    </row>
    <row r="100">
      <c r="A100" s="24">
        <v>45892.0</v>
      </c>
      <c r="B100" s="26" t="s">
        <v>142</v>
      </c>
      <c r="C100" s="4">
        <v>10.71</v>
      </c>
      <c r="D100" s="9" t="s">
        <v>124</v>
      </c>
    </row>
    <row r="101">
      <c r="A101" s="24">
        <v>45892.0</v>
      </c>
      <c r="B101" s="6" t="s">
        <v>245</v>
      </c>
      <c r="C101" s="4">
        <v>174.88</v>
      </c>
      <c r="D101" s="9" t="s">
        <v>521</v>
      </c>
    </row>
    <row r="102">
      <c r="A102" s="24">
        <v>45892.0</v>
      </c>
      <c r="B102" s="6" t="s">
        <v>549</v>
      </c>
      <c r="C102" s="4">
        <v>15.9</v>
      </c>
      <c r="D102" s="9" t="s">
        <v>123</v>
      </c>
    </row>
  </sheetData>
  <autoFilter ref="$A$1:$Y$844">
    <sortState ref="A1:Y844">
      <sortCondition ref="D1:D844"/>
      <sortCondition descending="1" ref="A1:A844"/>
    </sortState>
  </autoFilter>
  <dataValidations>
    <dataValidation type="list" allowBlank="1" showErrorMessage="1" sqref="D2:D10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SUB,VET BILLS"</formula1>
    </dataValidation>
  </dataValidations>
  <hyperlinks>
    <hyperlink r:id="rId2" ref="B28"/>
    <hyperlink r:id="rId3" ref="B45"/>
    <hyperlink r:id="rId4" ref="B46"/>
    <hyperlink r:id="rId5" ref="B100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24">
        <v>45910.0</v>
      </c>
      <c r="B2" s="6" t="s">
        <v>178</v>
      </c>
      <c r="C2" s="4">
        <v>4.51</v>
      </c>
      <c r="D2" s="9" t="s">
        <v>124</v>
      </c>
    </row>
    <row r="3">
      <c r="A3" s="24">
        <v>45910.0</v>
      </c>
      <c r="B3" s="6" t="s">
        <v>512</v>
      </c>
      <c r="C3" s="4">
        <v>12.99</v>
      </c>
      <c r="D3" s="9" t="s">
        <v>145</v>
      </c>
    </row>
    <row r="4">
      <c r="A4" s="29">
        <v>45909.0</v>
      </c>
      <c r="B4" s="6" t="s">
        <v>185</v>
      </c>
      <c r="C4" s="4">
        <v>28.97</v>
      </c>
      <c r="D4" s="9" t="s">
        <v>131</v>
      </c>
    </row>
    <row r="5">
      <c r="A5" s="29">
        <v>45909.0</v>
      </c>
      <c r="B5" s="6" t="s">
        <v>269</v>
      </c>
      <c r="C5" s="4">
        <v>9.6</v>
      </c>
      <c r="D5" s="9" t="s">
        <v>110</v>
      </c>
    </row>
    <row r="6">
      <c r="A6" s="29">
        <v>45909.0</v>
      </c>
      <c r="B6" s="6" t="s">
        <v>269</v>
      </c>
      <c r="C6" s="4">
        <v>239.0</v>
      </c>
      <c r="D6" s="9" t="s">
        <v>110</v>
      </c>
    </row>
    <row r="7">
      <c r="A7" s="29">
        <v>45907.0</v>
      </c>
      <c r="B7" s="6" t="s">
        <v>550</v>
      </c>
      <c r="C7" s="4">
        <v>-133.2</v>
      </c>
      <c r="D7" s="9" t="s">
        <v>128</v>
      </c>
    </row>
    <row r="8">
      <c r="A8" s="29">
        <v>45904.0</v>
      </c>
      <c r="B8" s="6" t="s">
        <v>185</v>
      </c>
      <c r="C8" s="4">
        <v>28.97</v>
      </c>
      <c r="D8" s="9" t="s">
        <v>131</v>
      </c>
    </row>
    <row r="9">
      <c r="A9" s="29">
        <v>45903.0</v>
      </c>
      <c r="B9" s="6" t="s">
        <v>209</v>
      </c>
      <c r="C9" s="4">
        <v>68.13</v>
      </c>
      <c r="D9" s="9" t="s">
        <v>139</v>
      </c>
    </row>
    <row r="10">
      <c r="A10" s="29">
        <v>45903.0</v>
      </c>
      <c r="B10" s="6" t="s">
        <v>417</v>
      </c>
      <c r="C10" s="4">
        <v>35.99</v>
      </c>
      <c r="D10" s="9" t="s">
        <v>110</v>
      </c>
    </row>
    <row r="11">
      <c r="A11" s="29">
        <v>45902.0</v>
      </c>
      <c r="B11" s="6" t="s">
        <v>185</v>
      </c>
      <c r="C11" s="4">
        <v>28.97</v>
      </c>
      <c r="D11" s="9" t="s">
        <v>131</v>
      </c>
    </row>
    <row r="12">
      <c r="A12" s="24">
        <v>45930.0</v>
      </c>
      <c r="B12" s="6" t="s">
        <v>185</v>
      </c>
      <c r="C12" s="4">
        <v>28.97</v>
      </c>
      <c r="D12" s="9" t="s">
        <v>131</v>
      </c>
    </row>
    <row r="13">
      <c r="A13" s="24">
        <v>45930.0</v>
      </c>
      <c r="B13" s="6" t="s">
        <v>550</v>
      </c>
      <c r="C13" s="4">
        <v>-65.99</v>
      </c>
      <c r="D13" s="9" t="s">
        <v>128</v>
      </c>
    </row>
    <row r="14">
      <c r="A14" s="24">
        <v>45930.0</v>
      </c>
      <c r="B14" s="6" t="s">
        <v>417</v>
      </c>
      <c r="C14" s="4">
        <v>35.99</v>
      </c>
      <c r="D14" s="9" t="s">
        <v>110</v>
      </c>
    </row>
    <row r="15">
      <c r="A15" s="24">
        <v>45928.0</v>
      </c>
      <c r="B15" s="6" t="s">
        <v>485</v>
      </c>
      <c r="C15" s="4">
        <v>15.1</v>
      </c>
      <c r="D15" s="9" t="s">
        <v>134</v>
      </c>
    </row>
    <row r="16">
      <c r="A16" s="24">
        <v>45926.0</v>
      </c>
      <c r="B16" s="6" t="s">
        <v>399</v>
      </c>
      <c r="C16" s="4">
        <v>15.98</v>
      </c>
      <c r="D16" s="9" t="s">
        <v>268</v>
      </c>
    </row>
    <row r="17">
      <c r="A17" s="24">
        <v>45925.0</v>
      </c>
      <c r="B17" s="6" t="s">
        <v>185</v>
      </c>
      <c r="C17" s="4">
        <v>96.77</v>
      </c>
      <c r="D17" s="9" t="s">
        <v>131</v>
      </c>
    </row>
    <row r="18">
      <c r="A18" s="24">
        <v>45925.0</v>
      </c>
      <c r="B18" s="6" t="s">
        <v>117</v>
      </c>
      <c r="C18" s="4">
        <v>97.31</v>
      </c>
      <c r="D18" s="9" t="s">
        <v>110</v>
      </c>
    </row>
    <row r="19">
      <c r="A19" s="24">
        <v>45925.0</v>
      </c>
      <c r="B19" s="6" t="s">
        <v>388</v>
      </c>
      <c r="C19" s="4">
        <v>53.5</v>
      </c>
      <c r="D19" s="9" t="s">
        <v>137</v>
      </c>
    </row>
    <row r="20">
      <c r="A20" s="24">
        <v>45924.0</v>
      </c>
      <c r="B20" s="6" t="s">
        <v>243</v>
      </c>
      <c r="C20" s="4">
        <v>38.04</v>
      </c>
      <c r="D20" s="9" t="s">
        <v>134</v>
      </c>
    </row>
    <row r="21">
      <c r="A21" s="24">
        <v>45923.0</v>
      </c>
      <c r="B21" s="6" t="s">
        <v>185</v>
      </c>
      <c r="C21" s="4">
        <v>28.97</v>
      </c>
      <c r="D21" s="9" t="s">
        <v>131</v>
      </c>
    </row>
    <row r="22">
      <c r="A22" s="24">
        <v>45923.0</v>
      </c>
      <c r="B22" s="6" t="s">
        <v>551</v>
      </c>
      <c r="C22" s="4">
        <v>678.0</v>
      </c>
      <c r="D22" s="9" t="s">
        <v>147</v>
      </c>
    </row>
    <row r="23">
      <c r="A23" s="24">
        <v>45923.0</v>
      </c>
      <c r="B23" s="6" t="s">
        <v>189</v>
      </c>
      <c r="C23" s="4">
        <v>328.77</v>
      </c>
      <c r="D23" s="9" t="s">
        <v>121</v>
      </c>
    </row>
    <row r="24">
      <c r="A24" s="24">
        <v>45923.0</v>
      </c>
      <c r="B24" s="6" t="s">
        <v>417</v>
      </c>
      <c r="C24" s="4">
        <v>35.99</v>
      </c>
      <c r="D24" s="9" t="s">
        <v>110</v>
      </c>
    </row>
    <row r="25">
      <c r="A25" s="24">
        <v>45922.0</v>
      </c>
      <c r="B25" s="6" t="s">
        <v>367</v>
      </c>
      <c r="C25" s="4">
        <v>10.04</v>
      </c>
      <c r="D25" s="9" t="s">
        <v>110</v>
      </c>
    </row>
    <row r="26">
      <c r="A26" s="24">
        <v>45922.0</v>
      </c>
      <c r="B26" s="6" t="s">
        <v>178</v>
      </c>
      <c r="C26" s="4">
        <v>16.94</v>
      </c>
      <c r="D26" s="9" t="s">
        <v>124</v>
      </c>
    </row>
    <row r="27">
      <c r="A27" s="24">
        <v>45920.0</v>
      </c>
      <c r="B27" s="6" t="s">
        <v>390</v>
      </c>
      <c r="C27" s="4">
        <v>66.18</v>
      </c>
      <c r="D27" s="9" t="s">
        <v>139</v>
      </c>
    </row>
    <row r="28">
      <c r="A28" s="24">
        <v>45920.0</v>
      </c>
      <c r="B28" s="6" t="s">
        <v>476</v>
      </c>
      <c r="C28" s="4">
        <v>12.8</v>
      </c>
      <c r="D28" s="9" t="s">
        <v>139</v>
      </c>
    </row>
    <row r="29">
      <c r="A29" s="24">
        <v>45920.0</v>
      </c>
      <c r="B29" s="6" t="s">
        <v>154</v>
      </c>
      <c r="C29" s="4">
        <v>19.79</v>
      </c>
      <c r="D29" s="9" t="s">
        <v>155</v>
      </c>
    </row>
    <row r="30">
      <c r="A30" s="24">
        <v>45920.0</v>
      </c>
      <c r="B30" s="6" t="s">
        <v>154</v>
      </c>
      <c r="C30" s="4">
        <v>38.47</v>
      </c>
      <c r="D30" s="9" t="s">
        <v>155</v>
      </c>
    </row>
    <row r="31">
      <c r="A31" s="24">
        <v>45919.0</v>
      </c>
      <c r="B31" s="6" t="s">
        <v>552</v>
      </c>
      <c r="C31" s="4">
        <v>33.68</v>
      </c>
      <c r="D31" s="9" t="s">
        <v>145</v>
      </c>
    </row>
    <row r="32">
      <c r="A32" s="24">
        <v>45919.0</v>
      </c>
      <c r="B32" s="6" t="s">
        <v>553</v>
      </c>
      <c r="C32" s="4">
        <v>19.87</v>
      </c>
      <c r="D32" s="9" t="s">
        <v>145</v>
      </c>
    </row>
    <row r="33">
      <c r="A33" s="24">
        <v>45919.0</v>
      </c>
      <c r="B33" s="6" t="s">
        <v>554</v>
      </c>
      <c r="C33" s="4">
        <v>39.89</v>
      </c>
      <c r="D33" s="9" t="s">
        <v>145</v>
      </c>
    </row>
    <row r="34">
      <c r="A34" s="24">
        <v>45919.0</v>
      </c>
      <c r="B34" s="6" t="s">
        <v>555</v>
      </c>
      <c r="C34" s="4">
        <v>63.78</v>
      </c>
      <c r="D34" s="9" t="s">
        <v>145</v>
      </c>
    </row>
    <row r="35">
      <c r="A35" s="24">
        <v>45919.0</v>
      </c>
      <c r="B35" s="6" t="s">
        <v>556</v>
      </c>
      <c r="C35" s="4">
        <v>12.76</v>
      </c>
      <c r="D35" s="9" t="s">
        <v>145</v>
      </c>
    </row>
    <row r="36">
      <c r="A36" s="24">
        <v>45919.0</v>
      </c>
      <c r="B36" s="6" t="s">
        <v>557</v>
      </c>
      <c r="C36" s="4">
        <v>26.53</v>
      </c>
      <c r="D36" s="9" t="s">
        <v>145</v>
      </c>
    </row>
    <row r="37">
      <c r="A37" s="24">
        <v>45919.0</v>
      </c>
      <c r="B37" s="6" t="s">
        <v>558</v>
      </c>
      <c r="C37" s="4">
        <v>91.98</v>
      </c>
      <c r="D37" s="9" t="s">
        <v>145</v>
      </c>
    </row>
    <row r="38">
      <c r="A38" s="24">
        <v>45919.0</v>
      </c>
      <c r="B38" s="6" t="s">
        <v>154</v>
      </c>
      <c r="C38" s="4">
        <v>98.99</v>
      </c>
      <c r="D38" s="9" t="s">
        <v>145</v>
      </c>
    </row>
    <row r="39">
      <c r="A39" s="24">
        <v>45918.0</v>
      </c>
      <c r="B39" s="6" t="s">
        <v>185</v>
      </c>
      <c r="C39" s="4">
        <v>81.7</v>
      </c>
      <c r="D39" s="9" t="s">
        <v>131</v>
      </c>
    </row>
    <row r="40">
      <c r="A40" s="24">
        <v>45918.0</v>
      </c>
      <c r="B40" s="6" t="s">
        <v>559</v>
      </c>
      <c r="C40" s="4">
        <v>48.04</v>
      </c>
      <c r="D40" s="9" t="s">
        <v>145</v>
      </c>
    </row>
    <row r="41">
      <c r="A41" s="24">
        <v>45918.0</v>
      </c>
      <c r="B41" s="6" t="s">
        <v>160</v>
      </c>
      <c r="C41" s="4">
        <v>110.13</v>
      </c>
      <c r="D41" s="9" t="s">
        <v>153</v>
      </c>
    </row>
    <row r="42">
      <c r="A42" s="24">
        <v>45917.0</v>
      </c>
      <c r="B42" s="6" t="s">
        <v>417</v>
      </c>
      <c r="C42" s="4">
        <v>35.99</v>
      </c>
      <c r="D42" s="9" t="s">
        <v>110</v>
      </c>
    </row>
    <row r="43">
      <c r="A43" s="24">
        <v>45917.0</v>
      </c>
      <c r="B43" s="6" t="s">
        <v>113</v>
      </c>
      <c r="C43" s="4">
        <v>36.02</v>
      </c>
      <c r="D43" s="9" t="s">
        <v>114</v>
      </c>
    </row>
    <row r="44">
      <c r="A44" s="24">
        <v>45917.0</v>
      </c>
      <c r="B44" s="6" t="s">
        <v>560</v>
      </c>
      <c r="C44" s="4">
        <v>14.47</v>
      </c>
      <c r="D44" s="9" t="s">
        <v>145</v>
      </c>
    </row>
    <row r="45">
      <c r="A45" s="24">
        <v>45916.0</v>
      </c>
      <c r="B45" s="6" t="s">
        <v>185</v>
      </c>
      <c r="C45" s="4">
        <v>28.97</v>
      </c>
      <c r="D45" s="9" t="s">
        <v>131</v>
      </c>
    </row>
    <row r="46">
      <c r="A46" s="24">
        <v>45916.0</v>
      </c>
      <c r="B46" s="6" t="s">
        <v>561</v>
      </c>
      <c r="C46" s="4">
        <v>64.14</v>
      </c>
      <c r="D46" s="9" t="s">
        <v>145</v>
      </c>
    </row>
    <row r="47">
      <c r="A47" s="24">
        <v>45915.0</v>
      </c>
      <c r="B47" s="6" t="s">
        <v>562</v>
      </c>
      <c r="C47" s="4">
        <v>34.29</v>
      </c>
      <c r="D47" s="9" t="s">
        <v>145</v>
      </c>
    </row>
    <row r="48">
      <c r="A48" s="24">
        <v>45915.0</v>
      </c>
      <c r="B48" s="6" t="s">
        <v>178</v>
      </c>
      <c r="C48" s="4">
        <v>62.12</v>
      </c>
      <c r="D48" s="9" t="s">
        <v>124</v>
      </c>
    </row>
    <row r="49">
      <c r="A49" s="24">
        <v>45915.0</v>
      </c>
      <c r="B49" s="6" t="s">
        <v>214</v>
      </c>
      <c r="C49" s="4">
        <v>2.49</v>
      </c>
      <c r="D49" s="9" t="s">
        <v>145</v>
      </c>
    </row>
    <row r="50">
      <c r="A50" s="24">
        <v>45915.0</v>
      </c>
      <c r="B50" s="6" t="s">
        <v>563</v>
      </c>
      <c r="C50" s="4">
        <v>72.26</v>
      </c>
      <c r="D50" s="9" t="s">
        <v>145</v>
      </c>
    </row>
    <row r="51">
      <c r="A51" s="24">
        <v>45915.0</v>
      </c>
      <c r="B51" s="6" t="s">
        <v>154</v>
      </c>
      <c r="C51" s="4">
        <v>36.92</v>
      </c>
      <c r="D51" s="9" t="s">
        <v>145</v>
      </c>
    </row>
    <row r="52">
      <c r="A52" s="24">
        <v>45914.0</v>
      </c>
      <c r="B52" s="6" t="s">
        <v>218</v>
      </c>
      <c r="C52" s="4">
        <v>20.88</v>
      </c>
      <c r="D52" s="9" t="s">
        <v>134</v>
      </c>
    </row>
    <row r="53">
      <c r="A53" s="24">
        <v>45914.0</v>
      </c>
      <c r="B53" s="6" t="s">
        <v>195</v>
      </c>
      <c r="C53" s="4">
        <v>-3837.61</v>
      </c>
      <c r="D53" s="9" t="s">
        <v>128</v>
      </c>
    </row>
    <row r="54">
      <c r="A54" s="24">
        <v>45914.0</v>
      </c>
      <c r="B54" s="6" t="s">
        <v>154</v>
      </c>
      <c r="C54" s="4">
        <v>3.0</v>
      </c>
      <c r="D54" s="9" t="s">
        <v>145</v>
      </c>
    </row>
    <row r="55">
      <c r="A55" s="24">
        <v>45913.0</v>
      </c>
      <c r="B55" s="6" t="s">
        <v>420</v>
      </c>
      <c r="C55" s="4">
        <v>8.38</v>
      </c>
      <c r="D55" s="9" t="s">
        <v>110</v>
      </c>
    </row>
    <row r="56">
      <c r="A56" s="24">
        <v>45912.0</v>
      </c>
      <c r="B56" s="6" t="s">
        <v>189</v>
      </c>
      <c r="C56" s="4">
        <v>93.78</v>
      </c>
      <c r="D56" s="9" t="s">
        <v>121</v>
      </c>
    </row>
    <row r="57">
      <c r="A57" s="24">
        <v>45912.0</v>
      </c>
      <c r="B57" s="6" t="s">
        <v>181</v>
      </c>
      <c r="C57" s="4">
        <v>87.5</v>
      </c>
      <c r="D57" s="9" t="s">
        <v>123</v>
      </c>
    </row>
    <row r="58">
      <c r="A58" s="24">
        <v>45912.0</v>
      </c>
      <c r="B58" s="6" t="s">
        <v>117</v>
      </c>
      <c r="C58" s="4">
        <v>37.8</v>
      </c>
      <c r="D58" s="9" t="s">
        <v>110</v>
      </c>
    </row>
    <row r="59">
      <c r="A59" s="24">
        <v>45911.0</v>
      </c>
      <c r="B59" s="6" t="s">
        <v>185</v>
      </c>
      <c r="C59" s="4">
        <v>47.03</v>
      </c>
      <c r="D59" s="9" t="s">
        <v>128</v>
      </c>
    </row>
    <row r="60">
      <c r="A60" s="30">
        <v>45921.0</v>
      </c>
      <c r="B60" s="26" t="s">
        <v>142</v>
      </c>
      <c r="C60" s="4">
        <v>25.4</v>
      </c>
      <c r="D60" s="9" t="s">
        <v>124</v>
      </c>
    </row>
    <row r="61">
      <c r="A61" s="30">
        <v>45920.0</v>
      </c>
      <c r="B61" s="6" t="s">
        <v>488</v>
      </c>
      <c r="C61" s="4">
        <v>5.64</v>
      </c>
      <c r="D61" s="9" t="s">
        <v>126</v>
      </c>
    </row>
    <row r="62">
      <c r="A62" s="30">
        <v>45919.0</v>
      </c>
      <c r="B62" s="6" t="s">
        <v>564</v>
      </c>
      <c r="C62" s="4">
        <v>0.99</v>
      </c>
      <c r="D62" s="9" t="s">
        <v>145</v>
      </c>
    </row>
    <row r="63">
      <c r="A63" s="30">
        <v>45918.0</v>
      </c>
      <c r="B63" s="26" t="s">
        <v>142</v>
      </c>
      <c r="C63" s="4">
        <v>14.68</v>
      </c>
      <c r="D63" s="9" t="s">
        <v>124</v>
      </c>
    </row>
    <row r="64">
      <c r="A64" s="30">
        <v>45918.0</v>
      </c>
      <c r="B64" s="6" t="s">
        <v>565</v>
      </c>
      <c r="C64" s="4">
        <v>91.72</v>
      </c>
      <c r="D64" s="9" t="s">
        <v>152</v>
      </c>
    </row>
    <row r="65">
      <c r="A65" s="30">
        <v>45915.0</v>
      </c>
      <c r="B65" s="6" t="s">
        <v>566</v>
      </c>
      <c r="C65" s="4">
        <v>21.07</v>
      </c>
      <c r="D65" s="9" t="s">
        <v>134</v>
      </c>
    </row>
    <row r="66">
      <c r="A66" s="30">
        <v>45915.0</v>
      </c>
      <c r="B66" s="6" t="s">
        <v>488</v>
      </c>
      <c r="C66" s="4">
        <v>1.12</v>
      </c>
      <c r="D66" s="9" t="s">
        <v>126</v>
      </c>
    </row>
    <row r="67">
      <c r="A67" s="30">
        <v>45913.0</v>
      </c>
      <c r="B67" s="6" t="s">
        <v>173</v>
      </c>
      <c r="C67" s="4">
        <v>11.29</v>
      </c>
      <c r="D67" s="9" t="s">
        <v>126</v>
      </c>
    </row>
    <row r="68">
      <c r="A68" s="30">
        <v>45913.0</v>
      </c>
      <c r="B68" s="6" t="s">
        <v>566</v>
      </c>
      <c r="C68" s="4">
        <v>18.72</v>
      </c>
      <c r="D68" s="9" t="s">
        <v>134</v>
      </c>
    </row>
    <row r="69">
      <c r="A69" s="30">
        <v>45910.0</v>
      </c>
      <c r="B69" s="6" t="s">
        <v>567</v>
      </c>
      <c r="C69" s="4">
        <v>30.77</v>
      </c>
      <c r="D69" s="9" t="s">
        <v>134</v>
      </c>
    </row>
    <row r="70">
      <c r="A70" s="30">
        <v>45909.0</v>
      </c>
      <c r="B70" s="6" t="s">
        <v>488</v>
      </c>
      <c r="C70" s="4">
        <v>5.64</v>
      </c>
      <c r="D70" s="9" t="s">
        <v>126</v>
      </c>
    </row>
    <row r="71">
      <c r="A71" s="30">
        <v>45909.0</v>
      </c>
      <c r="B71" s="6" t="s">
        <v>225</v>
      </c>
      <c r="C71" s="4">
        <v>43.22</v>
      </c>
      <c r="D71" s="9" t="s">
        <v>110</v>
      </c>
    </row>
    <row r="72">
      <c r="A72" s="30">
        <v>45908.0</v>
      </c>
      <c r="B72" s="6" t="s">
        <v>524</v>
      </c>
      <c r="C72" s="4">
        <v>50.0</v>
      </c>
      <c r="D72" s="9" t="s">
        <v>132</v>
      </c>
    </row>
    <row r="73">
      <c r="A73" s="30">
        <v>45907.0</v>
      </c>
      <c r="B73" s="6" t="s">
        <v>566</v>
      </c>
      <c r="C73" s="4">
        <v>10.83</v>
      </c>
      <c r="D73" s="9" t="s">
        <v>134</v>
      </c>
    </row>
    <row r="74">
      <c r="A74" s="30">
        <v>45907.0</v>
      </c>
      <c r="B74" s="6" t="s">
        <v>488</v>
      </c>
      <c r="C74" s="4">
        <v>12.42</v>
      </c>
      <c r="D74" s="9" t="s">
        <v>126</v>
      </c>
    </row>
    <row r="75">
      <c r="A75" s="30">
        <v>45907.0</v>
      </c>
      <c r="B75" s="6" t="s">
        <v>488</v>
      </c>
      <c r="C75" s="4">
        <v>16.94</v>
      </c>
      <c r="D75" s="9" t="s">
        <v>126</v>
      </c>
    </row>
    <row r="76">
      <c r="A76" s="30">
        <v>45906.0</v>
      </c>
      <c r="B76" s="6" t="s">
        <v>566</v>
      </c>
      <c r="C76" s="4">
        <v>15.35</v>
      </c>
      <c r="D76" s="9" t="s">
        <v>134</v>
      </c>
    </row>
    <row r="77">
      <c r="A77" s="30">
        <v>45905.0</v>
      </c>
      <c r="B77" s="26" t="s">
        <v>142</v>
      </c>
      <c r="C77" s="4">
        <v>10.16</v>
      </c>
      <c r="D77" s="9" t="s">
        <v>124</v>
      </c>
    </row>
    <row r="78">
      <c r="A78" s="30">
        <v>45904.0</v>
      </c>
      <c r="B78" s="6" t="s">
        <v>568</v>
      </c>
      <c r="C78" s="4">
        <v>38.48</v>
      </c>
      <c r="D78" s="9" t="s">
        <v>134</v>
      </c>
    </row>
    <row r="79">
      <c r="A79" s="30">
        <v>45904.0</v>
      </c>
      <c r="B79" s="6" t="s">
        <v>569</v>
      </c>
      <c r="C79" s="4">
        <v>-3.99</v>
      </c>
      <c r="D79" s="9" t="s">
        <v>131</v>
      </c>
    </row>
    <row r="80">
      <c r="A80" s="30">
        <v>45903.0</v>
      </c>
      <c r="B80" s="6" t="s">
        <v>443</v>
      </c>
      <c r="C80" s="4">
        <v>54.0</v>
      </c>
      <c r="D80" s="9" t="s">
        <v>137</v>
      </c>
    </row>
    <row r="81">
      <c r="A81" s="30">
        <v>45903.0</v>
      </c>
      <c r="B81" s="6" t="s">
        <v>225</v>
      </c>
      <c r="C81" s="4">
        <v>94.09</v>
      </c>
      <c r="D81" s="9" t="s">
        <v>110</v>
      </c>
    </row>
    <row r="82">
      <c r="A82" s="30">
        <v>45901.0</v>
      </c>
      <c r="B82" s="6" t="s">
        <v>385</v>
      </c>
      <c r="C82" s="4">
        <v>56.5</v>
      </c>
      <c r="D82" s="9" t="s">
        <v>326</v>
      </c>
    </row>
  </sheetData>
  <autoFilter ref="$A$1:$Y$836">
    <sortState ref="A1:Y836">
      <sortCondition ref="D1:D836"/>
      <sortCondition descending="1" ref="A1:A836"/>
    </sortState>
  </autoFilter>
  <dataValidations>
    <dataValidation type="list" allowBlank="1" showErrorMessage="1" sqref="D2:D82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SUB,VET BILLS"</formula1>
    </dataValidation>
  </dataValidations>
  <hyperlinks>
    <hyperlink r:id="rId2" ref="B60"/>
    <hyperlink r:id="rId3" ref="B63"/>
    <hyperlink r:id="rId4" ref="B77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31" t="s">
        <v>570</v>
      </c>
      <c r="B2" s="6" t="s">
        <v>178</v>
      </c>
      <c r="C2" s="4">
        <v>4.51</v>
      </c>
      <c r="D2" s="9" t="s">
        <v>124</v>
      </c>
    </row>
    <row r="3">
      <c r="A3" s="31" t="s">
        <v>570</v>
      </c>
      <c r="B3" s="6" t="s">
        <v>512</v>
      </c>
      <c r="C3" s="4">
        <v>12.99</v>
      </c>
      <c r="D3" s="9" t="s">
        <v>145</v>
      </c>
    </row>
    <row r="4">
      <c r="A4" s="31" t="s">
        <v>570</v>
      </c>
      <c r="B4" s="6" t="s">
        <v>571</v>
      </c>
      <c r="C4" s="4">
        <v>66.11</v>
      </c>
      <c r="D4" s="9" t="s">
        <v>141</v>
      </c>
    </row>
    <row r="5">
      <c r="A5" s="33" t="s">
        <v>570</v>
      </c>
      <c r="B5" s="6" t="s">
        <v>185</v>
      </c>
      <c r="C5" s="4">
        <v>28.97</v>
      </c>
      <c r="D5" s="9" t="s">
        <v>131</v>
      </c>
    </row>
    <row r="6">
      <c r="A6" s="31" t="s">
        <v>572</v>
      </c>
      <c r="B6" s="6" t="s">
        <v>185</v>
      </c>
      <c r="C6" s="4">
        <v>28.97</v>
      </c>
      <c r="D6" s="9" t="s">
        <v>131</v>
      </c>
    </row>
    <row r="7">
      <c r="A7" s="33" t="s">
        <v>572</v>
      </c>
      <c r="B7" s="6" t="s">
        <v>529</v>
      </c>
      <c r="C7" s="4">
        <v>9.25</v>
      </c>
      <c r="D7" s="9" t="s">
        <v>268</v>
      </c>
    </row>
    <row r="8">
      <c r="A8" s="24" t="s">
        <v>573</v>
      </c>
      <c r="B8" s="6" t="s">
        <v>154</v>
      </c>
      <c r="C8" s="4">
        <v>9.25</v>
      </c>
      <c r="D8" s="9" t="s">
        <v>155</v>
      </c>
    </row>
    <row r="9">
      <c r="A9" s="33" t="s">
        <v>574</v>
      </c>
      <c r="B9" s="6" t="s">
        <v>218</v>
      </c>
      <c r="C9" s="4">
        <v>7.33</v>
      </c>
      <c r="D9" s="9" t="s">
        <v>134</v>
      </c>
    </row>
    <row r="10">
      <c r="A10" s="33" t="s">
        <v>574</v>
      </c>
      <c r="B10" s="6" t="s">
        <v>218</v>
      </c>
      <c r="C10" s="4">
        <v>21.9</v>
      </c>
      <c r="D10" s="9" t="s">
        <v>134</v>
      </c>
    </row>
    <row r="11">
      <c r="A11" s="33" t="s">
        <v>575</v>
      </c>
      <c r="B11" s="6" t="s">
        <v>576</v>
      </c>
      <c r="C11" s="4">
        <v>49.1</v>
      </c>
      <c r="D11" s="9" t="s">
        <v>137</v>
      </c>
    </row>
    <row r="12">
      <c r="A12" s="33" t="s">
        <v>577</v>
      </c>
      <c r="B12" s="6" t="s">
        <v>269</v>
      </c>
      <c r="C12" s="4">
        <v>246.32</v>
      </c>
      <c r="D12" s="9" t="s">
        <v>110</v>
      </c>
    </row>
    <row r="13">
      <c r="A13" s="33" t="s">
        <v>577</v>
      </c>
      <c r="B13" s="6" t="s">
        <v>476</v>
      </c>
      <c r="C13" s="4">
        <v>35.56</v>
      </c>
      <c r="D13" s="9" t="s">
        <v>139</v>
      </c>
    </row>
    <row r="14">
      <c r="A14" s="33" t="s">
        <v>578</v>
      </c>
      <c r="B14" s="6" t="s">
        <v>148</v>
      </c>
      <c r="C14" s="4">
        <v>122.76</v>
      </c>
      <c r="D14" s="9" t="s">
        <v>135</v>
      </c>
    </row>
    <row r="15">
      <c r="A15" s="31" t="s">
        <v>579</v>
      </c>
      <c r="B15" s="6" t="s">
        <v>494</v>
      </c>
      <c r="C15" s="4">
        <v>146.21</v>
      </c>
      <c r="D15" s="9" t="s">
        <v>228</v>
      </c>
    </row>
    <row r="16">
      <c r="A16" s="31" t="s">
        <v>579</v>
      </c>
      <c r="B16" s="6" t="s">
        <v>494</v>
      </c>
      <c r="C16" s="4">
        <v>151.61</v>
      </c>
      <c r="D16" s="9" t="s">
        <v>228</v>
      </c>
    </row>
    <row r="17">
      <c r="A17" s="31" t="s">
        <v>578</v>
      </c>
      <c r="B17" s="6" t="s">
        <v>580</v>
      </c>
      <c r="C17" s="4">
        <v>31.0</v>
      </c>
      <c r="D17" s="9" t="s">
        <v>110</v>
      </c>
    </row>
    <row r="18">
      <c r="A18" s="24" t="s">
        <v>578</v>
      </c>
      <c r="B18" s="6" t="s">
        <v>185</v>
      </c>
      <c r="C18" s="4">
        <v>28.97</v>
      </c>
      <c r="D18" s="9" t="s">
        <v>131</v>
      </c>
    </row>
    <row r="19">
      <c r="A19" s="24" t="s">
        <v>581</v>
      </c>
      <c r="B19" s="6" t="s">
        <v>185</v>
      </c>
      <c r="C19" s="4">
        <v>28.97</v>
      </c>
      <c r="D19" s="9" t="s">
        <v>131</v>
      </c>
    </row>
    <row r="20">
      <c r="A20" s="24" t="s">
        <v>582</v>
      </c>
      <c r="B20" s="6" t="s">
        <v>494</v>
      </c>
      <c r="C20" s="4">
        <v>146.21</v>
      </c>
      <c r="D20" s="9" t="s">
        <v>228</v>
      </c>
    </row>
    <row r="21">
      <c r="A21" s="33" t="s">
        <v>582</v>
      </c>
      <c r="B21" s="6" t="s">
        <v>494</v>
      </c>
      <c r="C21" s="4">
        <v>151.61</v>
      </c>
      <c r="D21" s="9" t="s">
        <v>228</v>
      </c>
    </row>
    <row r="22">
      <c r="A22" s="31" t="s">
        <v>582</v>
      </c>
      <c r="B22" s="6" t="s">
        <v>417</v>
      </c>
      <c r="C22" s="4">
        <v>35.99</v>
      </c>
      <c r="D22" s="9" t="s">
        <v>110</v>
      </c>
    </row>
    <row r="23">
      <c r="A23" s="33" t="s">
        <v>581</v>
      </c>
      <c r="B23" s="6" t="s">
        <v>407</v>
      </c>
      <c r="C23" s="4">
        <v>53.65</v>
      </c>
      <c r="D23" s="9" t="s">
        <v>134</v>
      </c>
    </row>
    <row r="24">
      <c r="A24" s="31" t="s">
        <v>583</v>
      </c>
      <c r="B24" s="6" t="s">
        <v>185</v>
      </c>
      <c r="C24" s="4">
        <v>28.97</v>
      </c>
      <c r="D24" s="9" t="s">
        <v>131</v>
      </c>
    </row>
    <row r="25">
      <c r="A25" s="31" t="s">
        <v>584</v>
      </c>
      <c r="B25" s="6" t="s">
        <v>189</v>
      </c>
      <c r="C25" s="4">
        <v>328.77</v>
      </c>
      <c r="D25" s="9" t="s">
        <v>121</v>
      </c>
    </row>
    <row r="26">
      <c r="A26" s="31" t="s">
        <v>584</v>
      </c>
      <c r="B26" s="6" t="s">
        <v>117</v>
      </c>
      <c r="C26" s="4">
        <v>22.5</v>
      </c>
      <c r="D26" s="9" t="s">
        <v>110</v>
      </c>
    </row>
    <row r="27">
      <c r="A27" s="24" t="s">
        <v>584</v>
      </c>
      <c r="B27" s="6" t="s">
        <v>388</v>
      </c>
      <c r="C27" s="4">
        <v>53.78</v>
      </c>
      <c r="D27" s="9" t="s">
        <v>137</v>
      </c>
    </row>
    <row r="28">
      <c r="A28" s="24" t="s">
        <v>585</v>
      </c>
      <c r="B28" s="6" t="s">
        <v>586</v>
      </c>
      <c r="C28" s="4">
        <v>43.69</v>
      </c>
      <c r="D28" s="9" t="s">
        <v>134</v>
      </c>
    </row>
    <row r="29">
      <c r="A29" s="24" t="s">
        <v>583</v>
      </c>
      <c r="B29" s="6" t="s">
        <v>218</v>
      </c>
      <c r="C29" s="4">
        <v>13.2</v>
      </c>
      <c r="D29" s="9" t="s">
        <v>134</v>
      </c>
    </row>
    <row r="30">
      <c r="A30" s="24" t="s">
        <v>587</v>
      </c>
      <c r="B30" s="6" t="s">
        <v>588</v>
      </c>
      <c r="C30" s="4">
        <v>17.77</v>
      </c>
      <c r="D30" s="9" t="s">
        <v>268</v>
      </c>
    </row>
    <row r="31">
      <c r="A31" s="33" t="s">
        <v>587</v>
      </c>
      <c r="B31" s="6" t="s">
        <v>390</v>
      </c>
      <c r="C31" s="4">
        <v>69.96</v>
      </c>
      <c r="D31" s="9" t="s">
        <v>139</v>
      </c>
    </row>
    <row r="32">
      <c r="A32" s="33" t="s">
        <v>587</v>
      </c>
      <c r="B32" s="6" t="s">
        <v>476</v>
      </c>
      <c r="C32" s="4">
        <v>35.96</v>
      </c>
      <c r="D32" s="9" t="s">
        <v>139</v>
      </c>
    </row>
    <row r="33">
      <c r="A33" s="33" t="s">
        <v>589</v>
      </c>
      <c r="B33" s="6" t="s">
        <v>233</v>
      </c>
      <c r="C33" s="4">
        <v>107.35</v>
      </c>
      <c r="D33" s="9" t="s">
        <v>158</v>
      </c>
    </row>
    <row r="34">
      <c r="A34" s="33" t="s">
        <v>589</v>
      </c>
      <c r="B34" s="6" t="s">
        <v>154</v>
      </c>
      <c r="C34" s="4">
        <v>1.0</v>
      </c>
      <c r="D34" s="9" t="s">
        <v>155</v>
      </c>
    </row>
    <row r="35">
      <c r="A35" s="33" t="s">
        <v>589</v>
      </c>
      <c r="B35" s="6" t="s">
        <v>154</v>
      </c>
      <c r="C35" s="4">
        <v>11.67</v>
      </c>
      <c r="D35" s="9" t="s">
        <v>155</v>
      </c>
    </row>
    <row r="36">
      <c r="A36" s="33" t="s">
        <v>589</v>
      </c>
      <c r="B36" s="6" t="s">
        <v>590</v>
      </c>
      <c r="C36" s="4">
        <v>44.13</v>
      </c>
      <c r="D36" s="9" t="s">
        <v>134</v>
      </c>
    </row>
    <row r="37">
      <c r="A37" s="33" t="s">
        <v>589</v>
      </c>
      <c r="B37" s="6" t="s">
        <v>591</v>
      </c>
      <c r="C37" s="4">
        <v>21.02</v>
      </c>
      <c r="D37" s="9" t="s">
        <v>268</v>
      </c>
    </row>
    <row r="38">
      <c r="A38" s="33" t="s">
        <v>589</v>
      </c>
      <c r="B38" s="6" t="s">
        <v>189</v>
      </c>
      <c r="C38" s="4">
        <v>103.95</v>
      </c>
      <c r="D38" s="9" t="s">
        <v>121</v>
      </c>
    </row>
    <row r="39">
      <c r="A39" s="33" t="s">
        <v>589</v>
      </c>
      <c r="B39" s="6" t="s">
        <v>592</v>
      </c>
      <c r="C39" s="4">
        <v>173.6</v>
      </c>
      <c r="D39" s="9" t="s">
        <v>164</v>
      </c>
    </row>
    <row r="40">
      <c r="A40" s="31" t="s">
        <v>593</v>
      </c>
      <c r="B40" s="6" t="s">
        <v>185</v>
      </c>
      <c r="C40" s="4">
        <v>96.77</v>
      </c>
      <c r="D40" s="9" t="s">
        <v>131</v>
      </c>
    </row>
    <row r="41">
      <c r="A41" s="31" t="s">
        <v>589</v>
      </c>
      <c r="B41" s="6" t="s">
        <v>218</v>
      </c>
      <c r="C41" s="4">
        <v>16.01</v>
      </c>
      <c r="D41" s="9" t="s">
        <v>134</v>
      </c>
    </row>
    <row r="42">
      <c r="A42" s="33" t="s">
        <v>594</v>
      </c>
      <c r="B42" s="6" t="s">
        <v>185</v>
      </c>
      <c r="C42" s="4">
        <v>28.87</v>
      </c>
      <c r="D42" s="9" t="s">
        <v>131</v>
      </c>
    </row>
    <row r="43">
      <c r="A43" s="33" t="s">
        <v>595</v>
      </c>
      <c r="B43" s="6" t="s">
        <v>417</v>
      </c>
      <c r="C43" s="4">
        <v>35.99</v>
      </c>
      <c r="D43" s="9" t="s">
        <v>110</v>
      </c>
    </row>
    <row r="44">
      <c r="A44" s="33" t="s">
        <v>596</v>
      </c>
      <c r="B44" s="6" t="s">
        <v>218</v>
      </c>
      <c r="C44" s="4">
        <v>14.43</v>
      </c>
      <c r="D44" s="9" t="s">
        <v>134</v>
      </c>
    </row>
    <row r="45">
      <c r="A45" s="33" t="s">
        <v>597</v>
      </c>
      <c r="B45" s="6" t="s">
        <v>160</v>
      </c>
      <c r="C45" s="4">
        <v>93.86</v>
      </c>
      <c r="D45" s="9" t="s">
        <v>153</v>
      </c>
    </row>
    <row r="46">
      <c r="A46" s="24" t="s">
        <v>598</v>
      </c>
      <c r="B46" s="6" t="s">
        <v>113</v>
      </c>
      <c r="C46" s="4">
        <v>36.02</v>
      </c>
      <c r="D46" s="9" t="s">
        <v>114</v>
      </c>
    </row>
    <row r="47">
      <c r="A47" s="24" t="s">
        <v>599</v>
      </c>
      <c r="B47" s="6" t="s">
        <v>390</v>
      </c>
      <c r="C47" s="4">
        <v>66.72</v>
      </c>
      <c r="D47" s="9" t="s">
        <v>139</v>
      </c>
    </row>
    <row r="48">
      <c r="A48" s="33" t="s">
        <v>599</v>
      </c>
      <c r="B48" s="6" t="s">
        <v>476</v>
      </c>
      <c r="C48" s="4">
        <v>14.45</v>
      </c>
      <c r="D48" s="9" t="s">
        <v>139</v>
      </c>
    </row>
    <row r="49">
      <c r="A49" s="33" t="s">
        <v>600</v>
      </c>
      <c r="B49" s="6" t="s">
        <v>185</v>
      </c>
      <c r="C49" s="4">
        <v>28.97</v>
      </c>
      <c r="D49" s="9" t="s">
        <v>131</v>
      </c>
    </row>
    <row r="50">
      <c r="A50" s="33" t="s">
        <v>601</v>
      </c>
      <c r="B50" s="6" t="s">
        <v>195</v>
      </c>
      <c r="C50" s="4">
        <v>-3836.85</v>
      </c>
      <c r="D50" s="9" t="s">
        <v>128</v>
      </c>
    </row>
    <row r="51">
      <c r="A51" s="24" t="s">
        <v>600</v>
      </c>
      <c r="B51" s="6" t="s">
        <v>338</v>
      </c>
      <c r="C51" s="4">
        <v>30.6</v>
      </c>
      <c r="D51" s="9" t="s">
        <v>134</v>
      </c>
    </row>
    <row r="52">
      <c r="A52" s="31" t="s">
        <v>601</v>
      </c>
      <c r="B52" s="6" t="s">
        <v>529</v>
      </c>
      <c r="C52" s="4">
        <v>9.25</v>
      </c>
      <c r="D52" s="9" t="s">
        <v>268</v>
      </c>
    </row>
    <row r="53">
      <c r="A53" s="24" t="s">
        <v>601</v>
      </c>
      <c r="B53" s="6" t="s">
        <v>417</v>
      </c>
      <c r="C53" s="4">
        <v>35.99</v>
      </c>
      <c r="D53" s="9" t="s">
        <v>110</v>
      </c>
    </row>
    <row r="54">
      <c r="A54" s="33" t="s">
        <v>602</v>
      </c>
      <c r="B54" s="6" t="s">
        <v>412</v>
      </c>
      <c r="C54" s="4">
        <v>31.12</v>
      </c>
      <c r="D54" s="9" t="s">
        <v>134</v>
      </c>
    </row>
    <row r="55">
      <c r="A55" s="33" t="s">
        <v>603</v>
      </c>
      <c r="B55" s="6" t="s">
        <v>117</v>
      </c>
      <c r="C55" s="4">
        <v>29.55</v>
      </c>
      <c r="D55" s="9" t="s">
        <v>110</v>
      </c>
    </row>
    <row r="56">
      <c r="A56" s="33" t="s">
        <v>604</v>
      </c>
      <c r="B56" s="6" t="s">
        <v>605</v>
      </c>
      <c r="C56" s="4">
        <v>37.11</v>
      </c>
      <c r="D56" s="9" t="s">
        <v>137</v>
      </c>
    </row>
    <row r="57">
      <c r="A57" s="24" t="s">
        <v>603</v>
      </c>
      <c r="B57" s="6" t="s">
        <v>486</v>
      </c>
      <c r="C57" s="4">
        <v>7.44</v>
      </c>
      <c r="D57" s="9" t="s">
        <v>134</v>
      </c>
    </row>
    <row r="58">
      <c r="A58" s="34">
        <v>45952.0</v>
      </c>
      <c r="B58" s="6" t="s">
        <v>606</v>
      </c>
      <c r="C58" s="4">
        <v>37.26</v>
      </c>
      <c r="D58" s="9" t="s">
        <v>145</v>
      </c>
    </row>
    <row r="59">
      <c r="A59" s="34">
        <v>45951.0</v>
      </c>
      <c r="B59" s="6" t="s">
        <v>607</v>
      </c>
      <c r="C59" s="4">
        <v>9.25</v>
      </c>
      <c r="D59" s="9" t="s">
        <v>268</v>
      </c>
    </row>
    <row r="60">
      <c r="A60" s="34">
        <v>45951.0</v>
      </c>
      <c r="B60" s="6" t="s">
        <v>488</v>
      </c>
      <c r="C60" s="4">
        <v>20.33</v>
      </c>
      <c r="D60" s="9" t="s">
        <v>126</v>
      </c>
    </row>
    <row r="61">
      <c r="A61" s="34">
        <v>45950.0</v>
      </c>
      <c r="B61" s="6" t="s">
        <v>488</v>
      </c>
      <c r="C61" s="4">
        <v>-5.8</v>
      </c>
      <c r="D61" s="9" t="s">
        <v>126</v>
      </c>
    </row>
    <row r="62">
      <c r="A62" s="34">
        <v>45950.0</v>
      </c>
      <c r="B62" s="6" t="s">
        <v>488</v>
      </c>
      <c r="C62" s="4">
        <v>37.28</v>
      </c>
      <c r="D62" s="9" t="s">
        <v>126</v>
      </c>
    </row>
    <row r="63">
      <c r="A63" s="34">
        <v>45950.0</v>
      </c>
      <c r="B63" s="6" t="s">
        <v>225</v>
      </c>
      <c r="C63" s="4">
        <v>94.19</v>
      </c>
      <c r="D63" s="9" t="s">
        <v>110</v>
      </c>
    </row>
    <row r="64">
      <c r="A64" s="34">
        <v>45950.0</v>
      </c>
      <c r="B64" s="6" t="s">
        <v>488</v>
      </c>
      <c r="C64" s="4">
        <v>5.64</v>
      </c>
      <c r="D64" s="9" t="s">
        <v>126</v>
      </c>
    </row>
    <row r="65">
      <c r="A65" s="34">
        <v>45949.0</v>
      </c>
      <c r="B65" s="6" t="s">
        <v>565</v>
      </c>
      <c r="C65" s="4">
        <v>45.2</v>
      </c>
      <c r="D65" s="9" t="s">
        <v>152</v>
      </c>
    </row>
    <row r="66">
      <c r="A66" s="34">
        <v>45948.0</v>
      </c>
      <c r="B66" s="6" t="s">
        <v>608</v>
      </c>
      <c r="C66" s="4">
        <v>33.46</v>
      </c>
      <c r="D66" s="9" t="s">
        <v>145</v>
      </c>
    </row>
    <row r="67">
      <c r="A67" s="34">
        <v>45948.0</v>
      </c>
      <c r="B67" s="6" t="s">
        <v>142</v>
      </c>
      <c r="C67" s="4">
        <v>14.68</v>
      </c>
      <c r="D67" s="9" t="s">
        <v>124</v>
      </c>
    </row>
    <row r="68">
      <c r="A68" s="34">
        <v>45945.0</v>
      </c>
      <c r="B68" s="6" t="s">
        <v>488</v>
      </c>
      <c r="C68" s="4">
        <v>4.51</v>
      </c>
      <c r="D68" s="9" t="s">
        <v>126</v>
      </c>
    </row>
    <row r="69">
      <c r="A69" s="34">
        <v>45945.0</v>
      </c>
      <c r="B69" s="6" t="s">
        <v>609</v>
      </c>
      <c r="C69" s="4">
        <v>42.92</v>
      </c>
      <c r="D69" s="9" t="s">
        <v>145</v>
      </c>
    </row>
    <row r="70">
      <c r="A70" s="34">
        <v>45943.0</v>
      </c>
      <c r="B70" s="6" t="s">
        <v>610</v>
      </c>
      <c r="C70" s="4">
        <v>3.15</v>
      </c>
      <c r="D70" s="9" t="s">
        <v>145</v>
      </c>
    </row>
    <row r="71">
      <c r="A71" s="34">
        <v>45943.0</v>
      </c>
      <c r="B71" s="6" t="s">
        <v>610</v>
      </c>
      <c r="C71" s="4">
        <v>3.4</v>
      </c>
      <c r="D71" s="9" t="s">
        <v>145</v>
      </c>
    </row>
    <row r="72">
      <c r="A72" s="34">
        <v>45943.0</v>
      </c>
      <c r="B72" s="6" t="s">
        <v>173</v>
      </c>
      <c r="C72" s="4">
        <v>11.29</v>
      </c>
      <c r="D72" s="9" t="s">
        <v>126</v>
      </c>
    </row>
    <row r="73">
      <c r="A73" s="34">
        <v>45942.0</v>
      </c>
      <c r="B73" s="6" t="s">
        <v>211</v>
      </c>
      <c r="C73" s="4">
        <v>13.4</v>
      </c>
      <c r="D73" s="9" t="s">
        <v>134</v>
      </c>
    </row>
    <row r="74">
      <c r="A74" s="34">
        <v>45942.0</v>
      </c>
      <c r="B74" s="6" t="s">
        <v>566</v>
      </c>
      <c r="C74" s="4">
        <v>19.05</v>
      </c>
      <c r="D74" s="9" t="s">
        <v>134</v>
      </c>
    </row>
    <row r="75">
      <c r="A75" s="34">
        <v>45941.0</v>
      </c>
      <c r="B75" s="6" t="s">
        <v>611</v>
      </c>
      <c r="C75" s="4">
        <v>73.0</v>
      </c>
      <c r="D75" s="9" t="s">
        <v>145</v>
      </c>
    </row>
    <row r="76">
      <c r="A76" s="34">
        <v>45941.0</v>
      </c>
      <c r="B76" s="6" t="s">
        <v>612</v>
      </c>
      <c r="C76" s="4">
        <v>12.17</v>
      </c>
      <c r="D76" s="9" t="s">
        <v>134</v>
      </c>
    </row>
    <row r="77">
      <c r="A77" s="34">
        <v>45941.0</v>
      </c>
      <c r="B77" s="6" t="s">
        <v>566</v>
      </c>
      <c r="C77" s="4">
        <v>10.18</v>
      </c>
      <c r="D77" s="9" t="s">
        <v>134</v>
      </c>
    </row>
    <row r="78">
      <c r="A78" s="34">
        <v>45941.0</v>
      </c>
      <c r="B78" s="6" t="s">
        <v>613</v>
      </c>
      <c r="C78" s="4">
        <v>52.95</v>
      </c>
      <c r="D78" s="9" t="s">
        <v>137</v>
      </c>
    </row>
    <row r="79">
      <c r="A79" s="34">
        <v>45940.0</v>
      </c>
      <c r="B79" s="26" t="s">
        <v>614</v>
      </c>
      <c r="C79" s="4">
        <v>302.81</v>
      </c>
      <c r="D79" s="9" t="s">
        <v>123</v>
      </c>
    </row>
    <row r="80">
      <c r="A80" s="34">
        <v>45940.0</v>
      </c>
      <c r="B80" s="26" t="s">
        <v>615</v>
      </c>
      <c r="C80" s="4">
        <v>50.16</v>
      </c>
      <c r="D80" s="9" t="s">
        <v>134</v>
      </c>
    </row>
    <row r="81">
      <c r="A81" s="34">
        <v>45940.0</v>
      </c>
      <c r="B81" s="6" t="s">
        <v>616</v>
      </c>
      <c r="C81" s="4">
        <v>17.27</v>
      </c>
      <c r="D81" s="9" t="s">
        <v>123</v>
      </c>
    </row>
    <row r="82">
      <c r="A82" s="30">
        <v>45939.0</v>
      </c>
      <c r="B82" s="6" t="s">
        <v>617</v>
      </c>
      <c r="C82" s="4">
        <v>576.63</v>
      </c>
      <c r="D82" s="9" t="s">
        <v>164</v>
      </c>
    </row>
    <row r="83">
      <c r="A83" s="30">
        <v>45939.0</v>
      </c>
      <c r="B83" s="6" t="s">
        <v>488</v>
      </c>
      <c r="C83" s="4">
        <v>5.64</v>
      </c>
      <c r="D83" s="9" t="s">
        <v>126</v>
      </c>
    </row>
    <row r="84">
      <c r="A84" s="30">
        <v>45939.0</v>
      </c>
      <c r="B84" s="6" t="s">
        <v>225</v>
      </c>
      <c r="C84" s="4">
        <v>24.87</v>
      </c>
      <c r="D84" s="9" t="s">
        <v>110</v>
      </c>
    </row>
    <row r="85">
      <c r="A85" s="30">
        <v>45939.0</v>
      </c>
      <c r="B85" s="6" t="s">
        <v>506</v>
      </c>
      <c r="C85" s="4">
        <v>277.5</v>
      </c>
      <c r="D85" s="9" t="s">
        <v>131</v>
      </c>
    </row>
    <row r="86">
      <c r="A86" s="30">
        <v>45938.0</v>
      </c>
      <c r="B86" s="6" t="s">
        <v>524</v>
      </c>
      <c r="C86" s="4">
        <v>50.0</v>
      </c>
      <c r="D86" s="9" t="s">
        <v>132</v>
      </c>
    </row>
    <row r="87">
      <c r="A87" s="30">
        <v>45938.0</v>
      </c>
      <c r="B87" s="6" t="s">
        <v>618</v>
      </c>
      <c r="C87" s="4">
        <v>33.89</v>
      </c>
      <c r="D87" s="9" t="s">
        <v>126</v>
      </c>
    </row>
    <row r="88">
      <c r="A88" s="30">
        <v>45937.0</v>
      </c>
      <c r="B88" s="26" t="s">
        <v>488</v>
      </c>
      <c r="C88" s="4">
        <v>12.42</v>
      </c>
      <c r="D88" s="9" t="s">
        <v>126</v>
      </c>
    </row>
    <row r="89">
      <c r="A89" s="30">
        <v>45937.0</v>
      </c>
      <c r="B89" s="6" t="s">
        <v>488</v>
      </c>
      <c r="C89" s="4">
        <v>16.94</v>
      </c>
      <c r="D89" s="9" t="s">
        <v>126</v>
      </c>
    </row>
    <row r="90">
      <c r="A90" s="30">
        <v>45937.0</v>
      </c>
      <c r="B90" s="6" t="s">
        <v>369</v>
      </c>
      <c r="C90" s="4">
        <v>29.0</v>
      </c>
      <c r="D90" s="9" t="s">
        <v>134</v>
      </c>
    </row>
    <row r="91">
      <c r="A91" s="30">
        <v>45935.0</v>
      </c>
      <c r="B91" s="6" t="s">
        <v>566</v>
      </c>
      <c r="C91" s="4">
        <v>9.7</v>
      </c>
      <c r="D91" s="9" t="s">
        <v>134</v>
      </c>
    </row>
    <row r="92">
      <c r="A92" s="30">
        <v>45935.0</v>
      </c>
      <c r="B92" s="6" t="s">
        <v>142</v>
      </c>
      <c r="C92" s="4">
        <v>10.16</v>
      </c>
      <c r="D92" s="9" t="s">
        <v>124</v>
      </c>
    </row>
    <row r="93">
      <c r="A93" s="30">
        <v>45935.0</v>
      </c>
      <c r="B93" s="26" t="s">
        <v>619</v>
      </c>
      <c r="C93" s="4">
        <v>32.37</v>
      </c>
      <c r="D93" s="9" t="s">
        <v>145</v>
      </c>
    </row>
    <row r="94">
      <c r="A94" s="30">
        <v>45934.0</v>
      </c>
      <c r="B94" s="6" t="s">
        <v>620</v>
      </c>
      <c r="C94" s="4">
        <v>177.98</v>
      </c>
      <c r="D94" s="9" t="s">
        <v>112</v>
      </c>
    </row>
    <row r="95">
      <c r="A95" s="30">
        <v>45934.0</v>
      </c>
      <c r="B95" s="6" t="s">
        <v>226</v>
      </c>
      <c r="C95" s="4">
        <v>167.22</v>
      </c>
      <c r="D95" s="9" t="s">
        <v>121</v>
      </c>
    </row>
    <row r="96">
      <c r="A96" s="30">
        <v>45934.0</v>
      </c>
      <c r="B96" s="6" t="s">
        <v>225</v>
      </c>
      <c r="C96" s="4">
        <v>28.14</v>
      </c>
      <c r="D96" s="9" t="s">
        <v>110</v>
      </c>
    </row>
    <row r="97">
      <c r="A97" s="30">
        <v>45934.0</v>
      </c>
      <c r="B97" s="6" t="s">
        <v>621</v>
      </c>
      <c r="C97" s="4">
        <v>54.66</v>
      </c>
      <c r="D97" s="9" t="s">
        <v>123</v>
      </c>
    </row>
    <row r="98">
      <c r="A98" s="30">
        <v>45933.0</v>
      </c>
      <c r="B98" s="6" t="s">
        <v>622</v>
      </c>
      <c r="C98" s="4">
        <v>13.08</v>
      </c>
      <c r="D98" s="9" t="s">
        <v>268</v>
      </c>
    </row>
    <row r="99">
      <c r="A99" s="30">
        <v>45932.0</v>
      </c>
      <c r="B99" s="6" t="s">
        <v>623</v>
      </c>
      <c r="C99" s="4">
        <v>163.82</v>
      </c>
      <c r="D99" s="9" t="s">
        <v>220</v>
      </c>
    </row>
    <row r="100">
      <c r="A100" s="30">
        <v>45932.0</v>
      </c>
      <c r="B100" s="6" t="s">
        <v>142</v>
      </c>
      <c r="C100" s="4">
        <v>3.38</v>
      </c>
      <c r="D100" s="9" t="s">
        <v>124</v>
      </c>
    </row>
    <row r="101">
      <c r="A101" s="35">
        <v>45932.0</v>
      </c>
      <c r="B101" s="25" t="s">
        <v>624</v>
      </c>
      <c r="C101" s="4">
        <v>144.64</v>
      </c>
      <c r="D101" s="9" t="s">
        <v>147</v>
      </c>
    </row>
    <row r="102">
      <c r="A102" s="35">
        <v>45932.0</v>
      </c>
      <c r="B102" s="25" t="s">
        <v>625</v>
      </c>
      <c r="C102" s="4">
        <v>60.74</v>
      </c>
      <c r="D102" s="9" t="s">
        <v>139</v>
      </c>
    </row>
    <row r="103">
      <c r="A103" s="35">
        <v>45931.0</v>
      </c>
      <c r="B103" s="25" t="s">
        <v>385</v>
      </c>
      <c r="C103" s="4">
        <v>56.5</v>
      </c>
      <c r="D103" s="9" t="s">
        <v>326</v>
      </c>
    </row>
    <row r="104">
      <c r="A104" s="34">
        <v>45961.0</v>
      </c>
      <c r="B104" s="6" t="s">
        <v>488</v>
      </c>
      <c r="C104" s="4">
        <v>33.89</v>
      </c>
      <c r="D104" s="9" t="s">
        <v>126</v>
      </c>
    </row>
    <row r="105">
      <c r="A105" s="34">
        <v>45960.0</v>
      </c>
      <c r="B105" s="6" t="s">
        <v>213</v>
      </c>
      <c r="C105" s="4">
        <v>-3226.92</v>
      </c>
      <c r="D105" s="9" t="s">
        <v>128</v>
      </c>
    </row>
    <row r="106">
      <c r="A106" s="34">
        <v>45960.0</v>
      </c>
      <c r="B106" s="6" t="s">
        <v>626</v>
      </c>
      <c r="C106" s="4">
        <v>9.91</v>
      </c>
      <c r="D106" s="9" t="s">
        <v>145</v>
      </c>
    </row>
    <row r="107">
      <c r="A107" s="34">
        <v>45960.0</v>
      </c>
      <c r="B107" s="6" t="s">
        <v>627</v>
      </c>
      <c r="C107" s="4">
        <v>50.28</v>
      </c>
      <c r="D107" s="9" t="s">
        <v>145</v>
      </c>
    </row>
    <row r="108">
      <c r="A108" s="34">
        <v>45956.0</v>
      </c>
      <c r="B108" s="6" t="s">
        <v>488</v>
      </c>
      <c r="C108" s="4">
        <v>5.07</v>
      </c>
      <c r="D108" s="9" t="s">
        <v>126</v>
      </c>
    </row>
    <row r="109">
      <c r="A109" s="34">
        <v>45954.0</v>
      </c>
      <c r="B109" s="6" t="s">
        <v>628</v>
      </c>
      <c r="C109" s="4">
        <v>109.59</v>
      </c>
      <c r="D109" s="9" t="s">
        <v>141</v>
      </c>
    </row>
    <row r="110">
      <c r="A110" s="34">
        <v>45954.0</v>
      </c>
      <c r="B110" s="6" t="s">
        <v>629</v>
      </c>
      <c r="C110" s="4">
        <v>31.1</v>
      </c>
      <c r="D110" s="9" t="s">
        <v>268</v>
      </c>
    </row>
    <row r="111">
      <c r="A111" s="34">
        <v>45954.0</v>
      </c>
      <c r="B111" s="6" t="s">
        <v>629</v>
      </c>
      <c r="C111" s="4">
        <v>31.1</v>
      </c>
      <c r="D111" s="9" t="s">
        <v>268</v>
      </c>
    </row>
    <row r="112">
      <c r="A112" s="34">
        <v>45954.0</v>
      </c>
      <c r="B112" s="6" t="s">
        <v>629</v>
      </c>
      <c r="C112" s="4">
        <v>15.56</v>
      </c>
      <c r="D112" s="9" t="s">
        <v>268</v>
      </c>
    </row>
    <row r="113">
      <c r="A113" s="34">
        <v>45954.0</v>
      </c>
      <c r="B113" s="6" t="s">
        <v>629</v>
      </c>
      <c r="C113" s="4">
        <v>15.56</v>
      </c>
      <c r="D113" s="9" t="s">
        <v>268</v>
      </c>
    </row>
    <row r="114">
      <c r="A114" s="34">
        <v>45953.0</v>
      </c>
      <c r="B114" s="6" t="s">
        <v>566</v>
      </c>
      <c r="C114" s="4">
        <v>11.85</v>
      </c>
      <c r="D114" s="9" t="s">
        <v>134</v>
      </c>
    </row>
    <row r="115">
      <c r="A115" s="34">
        <v>45953.0</v>
      </c>
      <c r="B115" s="26" t="s">
        <v>142</v>
      </c>
      <c r="C115" s="4">
        <v>10.71</v>
      </c>
      <c r="D115" s="9" t="s">
        <v>124</v>
      </c>
    </row>
    <row r="116">
      <c r="A116" s="34">
        <v>45952.0</v>
      </c>
      <c r="B116" s="6" t="s">
        <v>630</v>
      </c>
      <c r="C116" s="4">
        <v>71.38</v>
      </c>
      <c r="D116" s="9" t="s">
        <v>164</v>
      </c>
    </row>
    <row r="117">
      <c r="A117" s="34">
        <v>45944.0</v>
      </c>
      <c r="B117" s="6" t="s">
        <v>564</v>
      </c>
      <c r="C117" s="4">
        <v>-0.96</v>
      </c>
      <c r="D117" s="9" t="s">
        <v>145</v>
      </c>
    </row>
  </sheetData>
  <autoFilter ref="$A$1:$Y$854">
    <sortState ref="A1:Y854">
      <sortCondition ref="D1:D854"/>
      <sortCondition descending="1" ref="A1:A854"/>
    </sortState>
  </autoFilter>
  <dataValidations>
    <dataValidation type="list" allowBlank="1" showErrorMessage="1" sqref="D2:D117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SUB,VET BILLS"</formula1>
    </dataValidation>
  </dataValidations>
  <hyperlinks>
    <hyperlink r:id="rId2" ref="B115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31" t="s">
        <v>631</v>
      </c>
      <c r="B2" s="6" t="s">
        <v>178</v>
      </c>
      <c r="C2" s="4">
        <v>4.51</v>
      </c>
      <c r="D2" s="9" t="s">
        <v>124</v>
      </c>
    </row>
    <row r="3">
      <c r="A3" s="31" t="s">
        <v>631</v>
      </c>
      <c r="B3" s="6" t="s">
        <v>512</v>
      </c>
      <c r="C3" s="4">
        <v>12.99</v>
      </c>
      <c r="D3" s="9" t="s">
        <v>145</v>
      </c>
    </row>
    <row r="4">
      <c r="A4" s="31" t="s">
        <v>631</v>
      </c>
      <c r="B4" s="6" t="s">
        <v>632</v>
      </c>
      <c r="C4" s="4">
        <v>66.73</v>
      </c>
      <c r="D4" s="9" t="s">
        <v>134</v>
      </c>
    </row>
    <row r="5">
      <c r="A5" s="33" t="s">
        <v>631</v>
      </c>
      <c r="B5" s="6" t="s">
        <v>282</v>
      </c>
      <c r="C5" s="4">
        <v>21.0</v>
      </c>
      <c r="D5" s="9" t="s">
        <v>137</v>
      </c>
    </row>
    <row r="6">
      <c r="A6" s="31" t="s">
        <v>633</v>
      </c>
      <c r="B6" s="6" t="s">
        <v>185</v>
      </c>
      <c r="C6" s="4">
        <v>54.22</v>
      </c>
      <c r="D6" s="9" t="s">
        <v>131</v>
      </c>
    </row>
    <row r="7">
      <c r="A7" s="33" t="s">
        <v>634</v>
      </c>
      <c r="B7" s="6" t="s">
        <v>635</v>
      </c>
      <c r="C7" s="4">
        <v>69.35</v>
      </c>
      <c r="D7" s="9" t="s">
        <v>147</v>
      </c>
    </row>
    <row r="8">
      <c r="A8" s="24" t="s">
        <v>634</v>
      </c>
      <c r="B8" s="6" t="s">
        <v>636</v>
      </c>
      <c r="C8" s="4">
        <v>51.0</v>
      </c>
      <c r="D8" s="9" t="s">
        <v>141</v>
      </c>
    </row>
    <row r="9">
      <c r="A9" s="33" t="s">
        <v>634</v>
      </c>
      <c r="B9" s="6" t="s">
        <v>637</v>
      </c>
      <c r="C9" s="4">
        <v>25.21</v>
      </c>
      <c r="D9" s="9" t="s">
        <v>147</v>
      </c>
    </row>
    <row r="10">
      <c r="A10" s="33" t="s">
        <v>634</v>
      </c>
      <c r="B10" s="6" t="s">
        <v>318</v>
      </c>
      <c r="C10" s="4">
        <v>51.95</v>
      </c>
      <c r="D10" s="9" t="s">
        <v>147</v>
      </c>
    </row>
    <row r="11">
      <c r="A11" s="33" t="s">
        <v>633</v>
      </c>
      <c r="B11" s="6" t="s">
        <v>117</v>
      </c>
      <c r="C11" s="4">
        <v>43.51</v>
      </c>
      <c r="D11" s="9" t="s">
        <v>110</v>
      </c>
    </row>
    <row r="12">
      <c r="A12" s="33" t="s">
        <v>638</v>
      </c>
      <c r="B12" s="6" t="s">
        <v>550</v>
      </c>
      <c r="C12" s="4">
        <v>-137.51</v>
      </c>
      <c r="D12" s="9" t="s">
        <v>128</v>
      </c>
    </row>
    <row r="13">
      <c r="A13" s="33" t="s">
        <v>633</v>
      </c>
      <c r="B13" s="6" t="s">
        <v>176</v>
      </c>
      <c r="C13" s="4">
        <v>2574.38</v>
      </c>
      <c r="D13" s="9" t="s">
        <v>147</v>
      </c>
    </row>
    <row r="14">
      <c r="A14" s="33" t="s">
        <v>640</v>
      </c>
      <c r="B14" s="6" t="s">
        <v>185</v>
      </c>
      <c r="C14" s="4">
        <v>28.97</v>
      </c>
      <c r="D14" s="9" t="s">
        <v>131</v>
      </c>
    </row>
    <row r="15">
      <c r="A15" s="31" t="s">
        <v>638</v>
      </c>
      <c r="B15" s="6" t="s">
        <v>117</v>
      </c>
      <c r="C15" s="4">
        <v>64.11</v>
      </c>
      <c r="D15" s="9" t="s">
        <v>110</v>
      </c>
    </row>
    <row r="16">
      <c r="A16" s="31" t="s">
        <v>638</v>
      </c>
      <c r="B16" s="6" t="s">
        <v>176</v>
      </c>
      <c r="C16" s="4">
        <v>99.42</v>
      </c>
      <c r="D16" s="9" t="s">
        <v>147</v>
      </c>
    </row>
    <row r="17">
      <c r="A17" s="31" t="s">
        <v>638</v>
      </c>
      <c r="B17" s="6" t="s">
        <v>176</v>
      </c>
      <c r="C17" s="4">
        <v>108.43</v>
      </c>
      <c r="D17" s="9" t="s">
        <v>147</v>
      </c>
    </row>
    <row r="18">
      <c r="A18" s="24" t="s">
        <v>638</v>
      </c>
      <c r="B18" s="6" t="s">
        <v>176</v>
      </c>
      <c r="C18" s="4">
        <v>170.63</v>
      </c>
      <c r="D18" s="9" t="s">
        <v>147</v>
      </c>
    </row>
    <row r="19">
      <c r="A19" s="24" t="s">
        <v>638</v>
      </c>
      <c r="B19" s="6" t="s">
        <v>176</v>
      </c>
      <c r="C19" s="4">
        <v>1091.2</v>
      </c>
      <c r="D19" s="9" t="s">
        <v>147</v>
      </c>
    </row>
    <row r="20">
      <c r="A20" s="24" t="s">
        <v>641</v>
      </c>
      <c r="B20" s="6" t="s">
        <v>185</v>
      </c>
      <c r="C20" s="4">
        <v>28.97</v>
      </c>
      <c r="D20" s="9" t="s">
        <v>131</v>
      </c>
    </row>
    <row r="21">
      <c r="A21" s="33" t="s">
        <v>640</v>
      </c>
      <c r="B21" s="6" t="s">
        <v>176</v>
      </c>
      <c r="C21" s="4">
        <v>216.0</v>
      </c>
      <c r="D21" s="9" t="s">
        <v>147</v>
      </c>
    </row>
    <row r="22">
      <c r="A22" s="31" t="s">
        <v>642</v>
      </c>
      <c r="B22" s="6" t="s">
        <v>185</v>
      </c>
      <c r="C22" s="4">
        <v>28.97</v>
      </c>
      <c r="D22" s="9" t="s">
        <v>131</v>
      </c>
    </row>
    <row r="23">
      <c r="A23" s="33" t="s">
        <v>642</v>
      </c>
      <c r="B23" s="6" t="s">
        <v>269</v>
      </c>
      <c r="C23" s="4">
        <v>5.19</v>
      </c>
      <c r="D23" s="9" t="s">
        <v>110</v>
      </c>
    </row>
    <row r="24">
      <c r="A24" s="31" t="s">
        <v>642</v>
      </c>
      <c r="B24" s="6" t="s">
        <v>269</v>
      </c>
      <c r="C24" s="4">
        <v>239.0</v>
      </c>
      <c r="D24" s="9" t="s">
        <v>110</v>
      </c>
    </row>
    <row r="25">
      <c r="A25" s="31" t="s">
        <v>641</v>
      </c>
      <c r="B25" s="6" t="s">
        <v>643</v>
      </c>
      <c r="C25" s="4">
        <v>56.14</v>
      </c>
      <c r="D25" s="9" t="s">
        <v>137</v>
      </c>
    </row>
    <row r="26">
      <c r="A26" s="31" t="s">
        <v>641</v>
      </c>
      <c r="B26" s="6" t="s">
        <v>417</v>
      </c>
      <c r="C26" s="4">
        <v>35.99</v>
      </c>
      <c r="D26" s="9" t="s">
        <v>110</v>
      </c>
    </row>
    <row r="27">
      <c r="A27" s="24" t="s">
        <v>641</v>
      </c>
      <c r="B27" s="6" t="s">
        <v>644</v>
      </c>
      <c r="C27" s="4">
        <v>180.42</v>
      </c>
      <c r="D27" s="9" t="s">
        <v>147</v>
      </c>
    </row>
    <row r="28">
      <c r="A28" s="24" t="s">
        <v>641</v>
      </c>
      <c r="B28" s="6" t="s">
        <v>644</v>
      </c>
      <c r="C28" s="4">
        <v>1218.89</v>
      </c>
      <c r="D28" s="9" t="s">
        <v>147</v>
      </c>
    </row>
    <row r="29">
      <c r="A29" s="24" t="s">
        <v>634</v>
      </c>
      <c r="B29" s="6" t="s">
        <v>637</v>
      </c>
      <c r="C29" s="4">
        <v>158.99</v>
      </c>
      <c r="D29" s="9" t="s">
        <v>147</v>
      </c>
    </row>
    <row r="30">
      <c r="A30" s="24" t="s">
        <v>640</v>
      </c>
      <c r="B30" s="6" t="s">
        <v>486</v>
      </c>
      <c r="C30" s="4">
        <v>11.83</v>
      </c>
      <c r="D30" s="9" t="s">
        <v>134</v>
      </c>
    </row>
    <row r="31">
      <c r="A31" s="33" t="s">
        <v>642</v>
      </c>
      <c r="B31" s="6" t="s">
        <v>117</v>
      </c>
      <c r="C31" s="4">
        <v>28.24</v>
      </c>
      <c r="D31" s="9" t="s">
        <v>110</v>
      </c>
    </row>
    <row r="32">
      <c r="A32" s="33" t="s">
        <v>642</v>
      </c>
      <c r="B32" s="6" t="s">
        <v>117</v>
      </c>
      <c r="C32" s="4">
        <v>230.23</v>
      </c>
      <c r="D32" s="9" t="s">
        <v>110</v>
      </c>
    </row>
    <row r="33">
      <c r="A33" s="33" t="s">
        <v>645</v>
      </c>
      <c r="B33" s="6" t="s">
        <v>646</v>
      </c>
      <c r="C33" s="4">
        <v>43.0</v>
      </c>
      <c r="D33" s="9" t="s">
        <v>141</v>
      </c>
    </row>
    <row r="34">
      <c r="A34" s="33" t="s">
        <v>647</v>
      </c>
      <c r="B34" s="6" t="s">
        <v>648</v>
      </c>
      <c r="C34" s="4">
        <v>64.95</v>
      </c>
      <c r="D34" s="9" t="s">
        <v>141</v>
      </c>
    </row>
    <row r="35">
      <c r="A35" s="33" t="s">
        <v>642</v>
      </c>
      <c r="B35" s="6" t="s">
        <v>649</v>
      </c>
      <c r="C35" s="4">
        <v>668.11</v>
      </c>
      <c r="D35" s="9" t="s">
        <v>112</v>
      </c>
    </row>
    <row r="36">
      <c r="A36" s="33" t="s">
        <v>645</v>
      </c>
      <c r="B36" s="6" t="s">
        <v>650</v>
      </c>
      <c r="C36" s="4">
        <v>22.7</v>
      </c>
      <c r="D36" s="9" t="s">
        <v>268</v>
      </c>
    </row>
    <row r="37">
      <c r="A37" s="33" t="s">
        <v>651</v>
      </c>
      <c r="B37" s="6" t="s">
        <v>148</v>
      </c>
      <c r="C37" s="4">
        <v>122.76</v>
      </c>
      <c r="D37" s="9" t="s">
        <v>135</v>
      </c>
    </row>
    <row r="38">
      <c r="A38" s="33" t="s">
        <v>651</v>
      </c>
      <c r="B38" s="6" t="s">
        <v>154</v>
      </c>
      <c r="C38" s="4">
        <v>3.0</v>
      </c>
      <c r="D38" s="9" t="s">
        <v>155</v>
      </c>
    </row>
    <row r="39">
      <c r="A39" s="33" t="s">
        <v>652</v>
      </c>
      <c r="B39" s="6" t="s">
        <v>178</v>
      </c>
      <c r="C39" s="4">
        <v>20.33</v>
      </c>
      <c r="D39" s="9" t="s">
        <v>124</v>
      </c>
    </row>
    <row r="40">
      <c r="A40" s="31" t="s">
        <v>653</v>
      </c>
      <c r="B40" s="6" t="s">
        <v>494</v>
      </c>
      <c r="C40" s="4">
        <v>146.21</v>
      </c>
      <c r="D40" s="9" t="s">
        <v>228</v>
      </c>
    </row>
    <row r="41">
      <c r="A41" s="31" t="s">
        <v>653</v>
      </c>
      <c r="B41" s="6" t="s">
        <v>494</v>
      </c>
      <c r="C41" s="4">
        <v>151.61</v>
      </c>
      <c r="D41" s="9" t="s">
        <v>228</v>
      </c>
    </row>
    <row r="42">
      <c r="A42" s="33" t="s">
        <v>652</v>
      </c>
      <c r="B42" s="6" t="s">
        <v>154</v>
      </c>
      <c r="C42" s="4">
        <v>25.58</v>
      </c>
      <c r="D42" s="9" t="s">
        <v>155</v>
      </c>
    </row>
    <row r="43">
      <c r="A43" s="33" t="s">
        <v>652</v>
      </c>
      <c r="B43" s="6" t="s">
        <v>117</v>
      </c>
      <c r="C43" s="4">
        <v>61.18</v>
      </c>
      <c r="D43" s="9" t="s">
        <v>110</v>
      </c>
    </row>
    <row r="44">
      <c r="A44" s="33" t="s">
        <v>654</v>
      </c>
      <c r="B44" s="6" t="s">
        <v>550</v>
      </c>
      <c r="C44" s="4">
        <v>-99.96</v>
      </c>
      <c r="D44" s="9" t="s">
        <v>128</v>
      </c>
    </row>
    <row r="45">
      <c r="A45" s="33" t="s">
        <v>652</v>
      </c>
      <c r="B45" s="6" t="s">
        <v>649</v>
      </c>
      <c r="C45" s="4">
        <v>33.33</v>
      </c>
      <c r="D45" s="9" t="s">
        <v>145</v>
      </c>
    </row>
    <row r="46">
      <c r="A46" s="24" t="s">
        <v>652</v>
      </c>
      <c r="B46" s="6" t="s">
        <v>649</v>
      </c>
      <c r="C46" s="4">
        <v>57.34</v>
      </c>
      <c r="D46" s="9" t="s">
        <v>145</v>
      </c>
    </row>
    <row r="47">
      <c r="A47" s="24" t="s">
        <v>655</v>
      </c>
      <c r="B47" s="6" t="s">
        <v>185</v>
      </c>
      <c r="C47" s="4">
        <v>28.97</v>
      </c>
      <c r="D47" s="9" t="s">
        <v>131</v>
      </c>
    </row>
    <row r="48">
      <c r="A48" s="33" t="s">
        <v>656</v>
      </c>
      <c r="B48" s="6" t="s">
        <v>657</v>
      </c>
      <c r="C48" s="4">
        <v>1092.62</v>
      </c>
      <c r="D48" s="9" t="s">
        <v>317</v>
      </c>
    </row>
    <row r="49">
      <c r="A49" s="33" t="s">
        <v>658</v>
      </c>
      <c r="B49" s="6" t="s">
        <v>185</v>
      </c>
      <c r="C49" s="4">
        <v>28.97</v>
      </c>
      <c r="D49" s="9" t="s">
        <v>131</v>
      </c>
    </row>
    <row r="50">
      <c r="A50" s="33" t="s">
        <v>658</v>
      </c>
      <c r="B50" s="6" t="s">
        <v>529</v>
      </c>
      <c r="C50" s="4">
        <v>9.25</v>
      </c>
      <c r="D50" s="9" t="s">
        <v>268</v>
      </c>
    </row>
    <row r="51">
      <c r="A51" s="24" t="s">
        <v>659</v>
      </c>
      <c r="B51" s="6" t="s">
        <v>117</v>
      </c>
      <c r="C51" s="4">
        <v>97.54</v>
      </c>
      <c r="D51" s="9" t="s">
        <v>110</v>
      </c>
    </row>
    <row r="52">
      <c r="A52" s="31" t="s">
        <v>660</v>
      </c>
      <c r="B52" s="6" t="s">
        <v>185</v>
      </c>
      <c r="C52" s="4">
        <v>28.97</v>
      </c>
      <c r="D52" s="9" t="s">
        <v>131</v>
      </c>
    </row>
    <row r="53">
      <c r="A53" s="24" t="s">
        <v>661</v>
      </c>
      <c r="B53" s="6" t="s">
        <v>185</v>
      </c>
      <c r="C53" s="4">
        <v>28.97</v>
      </c>
      <c r="D53" s="9" t="s">
        <v>131</v>
      </c>
    </row>
    <row r="54">
      <c r="A54" s="33" t="s">
        <v>662</v>
      </c>
      <c r="B54" s="6" t="s">
        <v>529</v>
      </c>
      <c r="C54" s="4">
        <v>8.25</v>
      </c>
      <c r="D54" s="9" t="s">
        <v>268</v>
      </c>
    </row>
    <row r="55">
      <c r="A55" s="33" t="s">
        <v>662</v>
      </c>
      <c r="B55" s="6" t="s">
        <v>417</v>
      </c>
      <c r="C55" s="4">
        <v>35.99</v>
      </c>
      <c r="D55" s="9" t="s">
        <v>110</v>
      </c>
    </row>
    <row r="56">
      <c r="A56" s="33" t="s">
        <v>662</v>
      </c>
      <c r="B56" s="6" t="s">
        <v>160</v>
      </c>
      <c r="C56" s="4">
        <v>105.16</v>
      </c>
      <c r="D56" s="9" t="s">
        <v>153</v>
      </c>
    </row>
    <row r="57">
      <c r="A57" s="24" t="s">
        <v>661</v>
      </c>
      <c r="B57" s="6" t="s">
        <v>113</v>
      </c>
      <c r="C57" s="4">
        <v>36.02</v>
      </c>
      <c r="D57" s="9" t="s">
        <v>114</v>
      </c>
    </row>
    <row r="58">
      <c r="A58" s="24" t="s">
        <v>663</v>
      </c>
      <c r="B58" s="6" t="s">
        <v>664</v>
      </c>
      <c r="C58" s="4">
        <v>20.12</v>
      </c>
      <c r="D58" s="9" t="s">
        <v>134</v>
      </c>
    </row>
    <row r="59">
      <c r="A59" s="33" t="s">
        <v>665</v>
      </c>
      <c r="B59" s="6" t="s">
        <v>185</v>
      </c>
      <c r="C59" s="4">
        <v>79.07</v>
      </c>
      <c r="D59" s="9" t="s">
        <v>131</v>
      </c>
    </row>
    <row r="60">
      <c r="A60" s="33" t="s">
        <v>663</v>
      </c>
      <c r="B60" s="6" t="s">
        <v>666</v>
      </c>
      <c r="C60" s="4">
        <v>6.85</v>
      </c>
      <c r="D60" s="9" t="s">
        <v>134</v>
      </c>
    </row>
    <row r="61">
      <c r="A61" s="33" t="s">
        <v>663</v>
      </c>
      <c r="B61" s="6" t="s">
        <v>667</v>
      </c>
      <c r="C61" s="4">
        <v>6.77</v>
      </c>
      <c r="D61" s="9" t="s">
        <v>134</v>
      </c>
    </row>
    <row r="62">
      <c r="A62" s="33" t="s">
        <v>663</v>
      </c>
      <c r="B62" s="6" t="s">
        <v>668</v>
      </c>
      <c r="C62" s="4">
        <v>3.86</v>
      </c>
      <c r="D62" s="9" t="s">
        <v>134</v>
      </c>
    </row>
    <row r="63">
      <c r="A63" s="33" t="s">
        <v>663</v>
      </c>
      <c r="B63" s="6" t="s">
        <v>243</v>
      </c>
      <c r="C63" s="4">
        <v>42.06</v>
      </c>
      <c r="D63" s="9" t="s">
        <v>639</v>
      </c>
    </row>
    <row r="64">
      <c r="A64" s="33" t="s">
        <v>661</v>
      </c>
      <c r="B64" s="6" t="s">
        <v>669</v>
      </c>
      <c r="C64" s="4">
        <v>416.76</v>
      </c>
      <c r="D64" s="9" t="s">
        <v>164</v>
      </c>
    </row>
    <row r="65">
      <c r="A65" s="31" t="s">
        <v>665</v>
      </c>
      <c r="B65" s="6" t="s">
        <v>218</v>
      </c>
      <c r="C65" s="4">
        <v>13.31</v>
      </c>
      <c r="D65" s="9" t="s">
        <v>134</v>
      </c>
    </row>
    <row r="66">
      <c r="A66" s="31" t="s">
        <v>663</v>
      </c>
      <c r="B66" s="6" t="s">
        <v>404</v>
      </c>
      <c r="C66" s="4">
        <v>17.25</v>
      </c>
      <c r="D66" s="9" t="s">
        <v>134</v>
      </c>
    </row>
    <row r="67">
      <c r="A67" s="31" t="s">
        <v>670</v>
      </c>
      <c r="B67" s="6" t="s">
        <v>390</v>
      </c>
      <c r="C67" s="4">
        <v>40.68</v>
      </c>
      <c r="D67" s="9" t="s">
        <v>139</v>
      </c>
    </row>
    <row r="68">
      <c r="A68" s="31" t="s">
        <v>671</v>
      </c>
      <c r="B68" s="6" t="s">
        <v>195</v>
      </c>
      <c r="C68" s="4">
        <v>-9870.38</v>
      </c>
      <c r="D68" s="9" t="s">
        <v>128</v>
      </c>
    </row>
    <row r="69">
      <c r="A69" s="33" t="s">
        <v>672</v>
      </c>
      <c r="B69" s="6" t="s">
        <v>476</v>
      </c>
      <c r="C69" s="4">
        <v>24.11</v>
      </c>
      <c r="D69" s="9" t="s">
        <v>139</v>
      </c>
    </row>
    <row r="70">
      <c r="A70" s="33" t="s">
        <v>672</v>
      </c>
      <c r="B70" s="6" t="s">
        <v>185</v>
      </c>
      <c r="C70" s="4">
        <v>28.97</v>
      </c>
      <c r="D70" s="9" t="s">
        <v>131</v>
      </c>
    </row>
    <row r="71">
      <c r="A71" s="31" t="s">
        <v>673</v>
      </c>
      <c r="B71" s="6" t="s">
        <v>117</v>
      </c>
      <c r="C71" s="4">
        <v>101.83</v>
      </c>
      <c r="D71" s="9" t="s">
        <v>110</v>
      </c>
    </row>
    <row r="72">
      <c r="A72" s="31" t="s">
        <v>673</v>
      </c>
      <c r="B72" s="6" t="s">
        <v>417</v>
      </c>
      <c r="C72" s="4">
        <v>35.99</v>
      </c>
      <c r="D72" s="9" t="s">
        <v>110</v>
      </c>
    </row>
    <row r="73">
      <c r="A73" s="31" t="s">
        <v>674</v>
      </c>
      <c r="B73" s="6" t="s">
        <v>178</v>
      </c>
      <c r="C73" s="4">
        <v>16.94</v>
      </c>
      <c r="D73" s="9" t="s">
        <v>124</v>
      </c>
    </row>
    <row r="74">
      <c r="A74" s="33" t="s">
        <v>673</v>
      </c>
      <c r="B74" s="6" t="s">
        <v>338</v>
      </c>
      <c r="C74" s="4">
        <v>29.24</v>
      </c>
      <c r="D74" s="9" t="s">
        <v>134</v>
      </c>
    </row>
    <row r="75">
      <c r="A75" s="33" t="s">
        <v>674</v>
      </c>
      <c r="B75" s="6" t="s">
        <v>176</v>
      </c>
      <c r="C75" s="4">
        <v>87.65</v>
      </c>
      <c r="D75" s="9" t="s">
        <v>147</v>
      </c>
    </row>
    <row r="76">
      <c r="A76" s="34">
        <v>45984.0</v>
      </c>
      <c r="B76" s="6" t="s">
        <v>488</v>
      </c>
      <c r="C76" s="4">
        <v>6.22</v>
      </c>
      <c r="D76" s="9" t="s">
        <v>126</v>
      </c>
    </row>
    <row r="77">
      <c r="A77" s="34">
        <v>45984.0</v>
      </c>
      <c r="B77" s="6" t="s">
        <v>133</v>
      </c>
      <c r="C77" s="4">
        <v>39.85</v>
      </c>
      <c r="D77" s="9" t="s">
        <v>134</v>
      </c>
    </row>
    <row r="78">
      <c r="A78" s="34">
        <v>45984.0</v>
      </c>
      <c r="B78" s="6" t="s">
        <v>142</v>
      </c>
      <c r="C78" s="4">
        <v>10.71</v>
      </c>
      <c r="D78" s="9" t="s">
        <v>124</v>
      </c>
    </row>
    <row r="79">
      <c r="A79" s="34">
        <v>45984.0</v>
      </c>
      <c r="B79" s="26" t="s">
        <v>675</v>
      </c>
      <c r="C79" s="4">
        <v>75.98</v>
      </c>
      <c r="D79" s="9" t="s">
        <v>116</v>
      </c>
    </row>
    <row r="80">
      <c r="A80" s="34">
        <v>45983.0</v>
      </c>
      <c r="B80" s="26" t="s">
        <v>506</v>
      </c>
      <c r="C80" s="4">
        <v>435.12</v>
      </c>
      <c r="D80" s="9" t="s">
        <v>131</v>
      </c>
    </row>
    <row r="81">
      <c r="A81" s="34">
        <v>45983.0</v>
      </c>
      <c r="B81" s="6" t="s">
        <v>676</v>
      </c>
      <c r="C81" s="4">
        <v>169.44</v>
      </c>
      <c r="D81" s="9" t="s">
        <v>147</v>
      </c>
    </row>
    <row r="82">
      <c r="A82" s="34">
        <v>45981.0</v>
      </c>
      <c r="B82" s="6" t="s">
        <v>488</v>
      </c>
      <c r="C82" s="4">
        <v>5.64</v>
      </c>
      <c r="D82" s="9" t="s">
        <v>126</v>
      </c>
    </row>
    <row r="83">
      <c r="A83" s="34">
        <v>45980.0</v>
      </c>
      <c r="B83" s="6" t="s">
        <v>565</v>
      </c>
      <c r="C83" s="4">
        <v>45.2</v>
      </c>
      <c r="D83" s="9" t="s">
        <v>152</v>
      </c>
    </row>
    <row r="84">
      <c r="A84" s="34">
        <v>45979.0</v>
      </c>
      <c r="B84" s="6" t="s">
        <v>142</v>
      </c>
      <c r="C84" s="4">
        <v>14.68</v>
      </c>
      <c r="D84" s="9" t="s">
        <v>124</v>
      </c>
    </row>
    <row r="85">
      <c r="A85" s="34">
        <v>45979.0</v>
      </c>
      <c r="B85" s="6" t="s">
        <v>229</v>
      </c>
      <c r="C85" s="4">
        <v>71.78</v>
      </c>
      <c r="D85" s="9" t="s">
        <v>134</v>
      </c>
    </row>
    <row r="86">
      <c r="A86" s="34">
        <v>45976.0</v>
      </c>
      <c r="B86" s="6" t="s">
        <v>488</v>
      </c>
      <c r="C86" s="4">
        <v>4.51</v>
      </c>
      <c r="D86" s="9" t="s">
        <v>126</v>
      </c>
    </row>
    <row r="87">
      <c r="A87" s="34">
        <v>45974.0</v>
      </c>
      <c r="B87" s="6" t="s">
        <v>173</v>
      </c>
      <c r="C87" s="4">
        <v>11.29</v>
      </c>
      <c r="D87" s="9" t="s">
        <v>126</v>
      </c>
    </row>
    <row r="88">
      <c r="A88" s="34">
        <v>45974.0</v>
      </c>
      <c r="B88" s="26" t="s">
        <v>488</v>
      </c>
      <c r="C88" s="4">
        <v>-8.46</v>
      </c>
      <c r="D88" s="9" t="s">
        <v>126</v>
      </c>
    </row>
    <row r="89">
      <c r="A89" s="34">
        <v>45972.0</v>
      </c>
      <c r="B89" s="6" t="s">
        <v>379</v>
      </c>
      <c r="C89" s="4">
        <v>423.75</v>
      </c>
      <c r="D89" s="9" t="s">
        <v>147</v>
      </c>
    </row>
    <row r="90">
      <c r="A90" s="30">
        <v>45970.0</v>
      </c>
      <c r="B90" s="6" t="s">
        <v>488</v>
      </c>
      <c r="C90" s="4">
        <v>5.64</v>
      </c>
      <c r="D90" s="9" t="s">
        <v>126</v>
      </c>
    </row>
    <row r="91">
      <c r="A91" s="30">
        <v>45969.0</v>
      </c>
      <c r="B91" s="6" t="s">
        <v>524</v>
      </c>
      <c r="C91" s="4">
        <v>50.0</v>
      </c>
      <c r="D91" s="9" t="s">
        <v>132</v>
      </c>
    </row>
    <row r="92">
      <c r="A92" s="30">
        <v>45968.0</v>
      </c>
      <c r="B92" s="6" t="s">
        <v>488</v>
      </c>
      <c r="C92" s="4">
        <v>6.2</v>
      </c>
      <c r="D92" s="9" t="s">
        <v>126</v>
      </c>
    </row>
    <row r="93">
      <c r="A93" s="30">
        <v>45968.0</v>
      </c>
      <c r="B93" s="26" t="s">
        <v>488</v>
      </c>
      <c r="C93" s="4">
        <v>8.46</v>
      </c>
      <c r="D93" s="9" t="s">
        <v>126</v>
      </c>
    </row>
    <row r="94">
      <c r="A94" s="30">
        <v>45968.0</v>
      </c>
      <c r="B94" s="6" t="s">
        <v>566</v>
      </c>
      <c r="C94" s="4">
        <v>3.35</v>
      </c>
      <c r="D94" s="9" t="s">
        <v>134</v>
      </c>
    </row>
    <row r="95">
      <c r="A95" s="30">
        <v>45967.0</v>
      </c>
      <c r="B95" s="6" t="s">
        <v>142</v>
      </c>
      <c r="C95" s="4">
        <v>10.16</v>
      </c>
      <c r="D95" s="9" t="s">
        <v>124</v>
      </c>
    </row>
    <row r="96">
      <c r="A96" s="30">
        <v>45966.0</v>
      </c>
      <c r="B96" s="6" t="s">
        <v>619</v>
      </c>
      <c r="C96" s="4">
        <v>32.69</v>
      </c>
      <c r="D96" s="9" t="s">
        <v>145</v>
      </c>
    </row>
    <row r="97">
      <c r="A97" s="30">
        <v>45962.0</v>
      </c>
      <c r="B97" s="6" t="s">
        <v>677</v>
      </c>
      <c r="C97" s="4">
        <v>35.0</v>
      </c>
      <c r="D97" s="9" t="s">
        <v>145</v>
      </c>
    </row>
    <row r="98">
      <c r="A98" s="30">
        <v>45962.0</v>
      </c>
      <c r="B98" s="6" t="s">
        <v>385</v>
      </c>
      <c r="C98" s="4">
        <v>79.1</v>
      </c>
      <c r="D98" s="9" t="s">
        <v>326</v>
      </c>
    </row>
    <row r="99">
      <c r="A99" s="34">
        <v>45991.0</v>
      </c>
      <c r="B99" s="6" t="s">
        <v>678</v>
      </c>
      <c r="C99" s="4">
        <v>38.41</v>
      </c>
      <c r="D99" s="9" t="s">
        <v>145</v>
      </c>
    </row>
    <row r="100">
      <c r="A100" s="34">
        <v>45990.0</v>
      </c>
      <c r="B100" s="6" t="s">
        <v>566</v>
      </c>
      <c r="C100" s="4">
        <v>11.61</v>
      </c>
      <c r="D100" s="9" t="s">
        <v>134</v>
      </c>
    </row>
    <row r="101">
      <c r="A101" s="34">
        <v>45989.0</v>
      </c>
      <c r="B101" s="6" t="s">
        <v>213</v>
      </c>
      <c r="C101" s="4">
        <v>-1931.35</v>
      </c>
      <c r="D101" s="9" t="s">
        <v>128</v>
      </c>
    </row>
    <row r="102">
      <c r="A102" s="34">
        <v>45988.0</v>
      </c>
      <c r="B102" s="6" t="s">
        <v>679</v>
      </c>
      <c r="C102" s="4">
        <v>66.99</v>
      </c>
      <c r="D102" s="9" t="s">
        <v>116</v>
      </c>
    </row>
    <row r="103">
      <c r="A103" s="34">
        <v>45987.0</v>
      </c>
      <c r="B103" s="6" t="s">
        <v>488</v>
      </c>
      <c r="C103" s="4">
        <v>5.07</v>
      </c>
      <c r="D103" s="9" t="s">
        <v>126</v>
      </c>
    </row>
    <row r="104">
      <c r="A104" s="34">
        <v>45987.0</v>
      </c>
      <c r="B104" s="6" t="s">
        <v>680</v>
      </c>
      <c r="C104" s="4">
        <v>59.73</v>
      </c>
      <c r="D104" s="9" t="s">
        <v>134</v>
      </c>
    </row>
    <row r="105">
      <c r="A105" s="34">
        <v>45987.0</v>
      </c>
      <c r="B105" s="6" t="s">
        <v>196</v>
      </c>
      <c r="C105" s="4">
        <v>58.26</v>
      </c>
      <c r="D105" s="9" t="s">
        <v>110</v>
      </c>
    </row>
    <row r="106">
      <c r="A106" s="34">
        <v>45987.0</v>
      </c>
      <c r="B106" s="6" t="s">
        <v>681</v>
      </c>
      <c r="C106" s="4">
        <v>111.7</v>
      </c>
      <c r="D106" s="9" t="s">
        <v>145</v>
      </c>
    </row>
    <row r="107">
      <c r="A107" s="34">
        <v>45986.0</v>
      </c>
      <c r="B107" s="6" t="s">
        <v>682</v>
      </c>
      <c r="C107" s="4">
        <v>13.56</v>
      </c>
      <c r="D107" s="9" t="s">
        <v>145</v>
      </c>
    </row>
    <row r="108">
      <c r="A108" s="34">
        <v>45986.0</v>
      </c>
      <c r="B108" s="6" t="s">
        <v>683</v>
      </c>
      <c r="C108" s="4">
        <v>16.9</v>
      </c>
      <c r="D108" s="9" t="s">
        <v>110</v>
      </c>
    </row>
    <row r="109">
      <c r="A109" s="34">
        <v>45986.0</v>
      </c>
      <c r="B109" s="6" t="s">
        <v>684</v>
      </c>
      <c r="C109" s="4">
        <v>43.63</v>
      </c>
      <c r="D109" s="9" t="s">
        <v>134</v>
      </c>
    </row>
    <row r="110">
      <c r="A110" s="34">
        <v>45985.0</v>
      </c>
      <c r="B110" s="6" t="s">
        <v>685</v>
      </c>
      <c r="C110" s="4">
        <v>50.87</v>
      </c>
      <c r="D110" s="9" t="s">
        <v>145</v>
      </c>
    </row>
    <row r="111">
      <c r="A111" s="34">
        <v>45984.0</v>
      </c>
      <c r="B111" s="6" t="s">
        <v>566</v>
      </c>
      <c r="C111" s="4">
        <v>11.57</v>
      </c>
      <c r="D111" s="9" t="s">
        <v>134</v>
      </c>
    </row>
  </sheetData>
  <autoFilter ref="$A$1:$Y$854">
    <sortState ref="A1:Y854">
      <sortCondition ref="D1:D854"/>
      <sortCondition descending="1" ref="A1:A854"/>
    </sortState>
  </autoFilter>
  <dataValidations>
    <dataValidation type="list" allowBlank="1" showErrorMessage="1" sqref="D2:D111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SUB,VET BILLS"</formula1>
    </dataValidation>
  </dataValidation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5"/>
  </cols>
  <sheetData>
    <row r="1">
      <c r="A1" s="22" t="s">
        <v>105</v>
      </c>
      <c r="B1" s="22" t="s">
        <v>106</v>
      </c>
      <c r="C1" s="22" t="s">
        <v>107</v>
      </c>
      <c r="D1" s="22" t="s">
        <v>108</v>
      </c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>
      <c r="A2" s="31" t="s">
        <v>686</v>
      </c>
      <c r="B2" s="6" t="s">
        <v>512</v>
      </c>
      <c r="C2" s="4">
        <v>12.99</v>
      </c>
      <c r="D2" s="9" t="s">
        <v>145</v>
      </c>
    </row>
    <row r="3">
      <c r="A3" s="31" t="s">
        <v>687</v>
      </c>
      <c r="B3" s="6" t="s">
        <v>185</v>
      </c>
      <c r="C3" s="4">
        <v>28.97</v>
      </c>
      <c r="D3" s="9" t="s">
        <v>131</v>
      </c>
    </row>
    <row r="4">
      <c r="A4" s="31" t="s">
        <v>687</v>
      </c>
      <c r="B4" s="6" t="s">
        <v>688</v>
      </c>
      <c r="C4" s="4">
        <v>74.9</v>
      </c>
      <c r="D4" s="9" t="s">
        <v>268</v>
      </c>
    </row>
    <row r="5">
      <c r="A5" s="33" t="s">
        <v>687</v>
      </c>
      <c r="B5" s="6" t="s">
        <v>689</v>
      </c>
      <c r="C5" s="4">
        <v>36.04</v>
      </c>
      <c r="D5" s="9" t="s">
        <v>145</v>
      </c>
    </row>
    <row r="6">
      <c r="A6" s="31" t="s">
        <v>686</v>
      </c>
      <c r="B6" s="6" t="s">
        <v>417</v>
      </c>
      <c r="C6" s="4">
        <v>35.99</v>
      </c>
      <c r="D6" s="9" t="s">
        <v>110</v>
      </c>
    </row>
    <row r="7">
      <c r="A7" s="33" t="s">
        <v>690</v>
      </c>
      <c r="B7" s="6" t="s">
        <v>154</v>
      </c>
      <c r="C7" s="4">
        <v>17.38</v>
      </c>
      <c r="D7" s="9" t="s">
        <v>155</v>
      </c>
    </row>
    <row r="8">
      <c r="A8" s="24" t="s">
        <v>690</v>
      </c>
      <c r="B8" s="6" t="s">
        <v>343</v>
      </c>
      <c r="C8" s="4">
        <v>16.2</v>
      </c>
      <c r="D8" s="9" t="s">
        <v>268</v>
      </c>
    </row>
    <row r="9">
      <c r="A9" s="33" t="s">
        <v>690</v>
      </c>
      <c r="B9" s="6" t="s">
        <v>117</v>
      </c>
      <c r="C9" s="4">
        <v>111.78</v>
      </c>
      <c r="D9" s="9" t="s">
        <v>110</v>
      </c>
    </row>
    <row r="10">
      <c r="A10" s="33" t="s">
        <v>690</v>
      </c>
      <c r="B10" s="6" t="s">
        <v>691</v>
      </c>
      <c r="C10" s="4">
        <v>44.99</v>
      </c>
      <c r="D10" s="9" t="s">
        <v>141</v>
      </c>
    </row>
    <row r="11">
      <c r="A11" s="33" t="s">
        <v>692</v>
      </c>
      <c r="B11" s="6" t="s">
        <v>243</v>
      </c>
      <c r="C11" s="4">
        <v>85.48</v>
      </c>
      <c r="D11" s="9" t="s">
        <v>639</v>
      </c>
    </row>
    <row r="12">
      <c r="A12" s="33" t="s">
        <v>692</v>
      </c>
      <c r="B12" s="6" t="s">
        <v>185</v>
      </c>
      <c r="C12" s="4">
        <v>193.15</v>
      </c>
      <c r="D12" s="9" t="s">
        <v>131</v>
      </c>
    </row>
    <row r="13">
      <c r="A13" s="33" t="s">
        <v>692</v>
      </c>
      <c r="B13" s="6" t="s">
        <v>693</v>
      </c>
      <c r="C13" s="4">
        <v>1295.61</v>
      </c>
      <c r="D13" s="9" t="s">
        <v>164</v>
      </c>
    </row>
    <row r="14">
      <c r="A14" s="33" t="s">
        <v>694</v>
      </c>
      <c r="B14" s="6" t="s">
        <v>695</v>
      </c>
      <c r="C14" s="4">
        <v>17.28</v>
      </c>
      <c r="D14" s="9" t="s">
        <v>145</v>
      </c>
    </row>
    <row r="15">
      <c r="A15" s="31" t="s">
        <v>694</v>
      </c>
      <c r="B15" s="6" t="s">
        <v>696</v>
      </c>
      <c r="C15" s="4">
        <v>21.85</v>
      </c>
      <c r="D15" s="9" t="s">
        <v>145</v>
      </c>
    </row>
    <row r="16">
      <c r="A16" s="31" t="s">
        <v>694</v>
      </c>
      <c r="B16" s="6" t="s">
        <v>697</v>
      </c>
      <c r="C16" s="4">
        <v>4.99</v>
      </c>
      <c r="D16" s="9" t="s">
        <v>145</v>
      </c>
    </row>
    <row r="17">
      <c r="A17" s="31" t="s">
        <v>694</v>
      </c>
      <c r="B17" s="6" t="s">
        <v>698</v>
      </c>
      <c r="C17" s="4">
        <v>6.0</v>
      </c>
      <c r="D17" s="9" t="s">
        <v>145</v>
      </c>
    </row>
    <row r="18">
      <c r="A18" s="24" t="s">
        <v>692</v>
      </c>
      <c r="B18" s="6" t="s">
        <v>699</v>
      </c>
      <c r="C18" s="4">
        <v>3.3</v>
      </c>
      <c r="D18" s="9" t="s">
        <v>164</v>
      </c>
    </row>
    <row r="19">
      <c r="A19" s="24" t="s">
        <v>694</v>
      </c>
      <c r="B19" s="6" t="s">
        <v>700</v>
      </c>
      <c r="C19" s="4">
        <v>228.6</v>
      </c>
      <c r="D19" s="9" t="s">
        <v>139</v>
      </c>
    </row>
    <row r="20">
      <c r="A20" s="24" t="s">
        <v>694</v>
      </c>
      <c r="B20" s="6" t="s">
        <v>154</v>
      </c>
      <c r="C20" s="4">
        <v>23.81</v>
      </c>
      <c r="D20" s="9" t="s">
        <v>155</v>
      </c>
    </row>
    <row r="21">
      <c r="A21" s="33" t="s">
        <v>701</v>
      </c>
      <c r="B21" s="6" t="s">
        <v>666</v>
      </c>
      <c r="C21" s="4">
        <v>7.05</v>
      </c>
      <c r="D21" s="9" t="s">
        <v>145</v>
      </c>
    </row>
    <row r="22">
      <c r="A22" s="31" t="s">
        <v>694</v>
      </c>
      <c r="B22" s="6" t="s">
        <v>218</v>
      </c>
      <c r="C22" s="4">
        <v>14.67</v>
      </c>
      <c r="D22" s="9" t="s">
        <v>134</v>
      </c>
    </row>
    <row r="23">
      <c r="A23" s="33" t="s">
        <v>701</v>
      </c>
      <c r="B23" s="6" t="s">
        <v>388</v>
      </c>
      <c r="C23" s="4">
        <v>51.68</v>
      </c>
      <c r="D23" s="9" t="s">
        <v>137</v>
      </c>
    </row>
    <row r="24">
      <c r="A24" s="31" t="s">
        <v>701</v>
      </c>
      <c r="B24" s="6" t="s">
        <v>417</v>
      </c>
      <c r="C24" s="4">
        <v>35.99</v>
      </c>
      <c r="D24" s="9" t="s">
        <v>110</v>
      </c>
    </row>
    <row r="25">
      <c r="A25" s="31" t="s">
        <v>653</v>
      </c>
      <c r="B25" s="6" t="s">
        <v>148</v>
      </c>
      <c r="C25" s="4">
        <v>122.76</v>
      </c>
      <c r="D25" s="9" t="s">
        <v>135</v>
      </c>
    </row>
    <row r="26">
      <c r="A26" s="34">
        <v>46013.0</v>
      </c>
      <c r="B26" s="6" t="s">
        <v>133</v>
      </c>
      <c r="C26" s="4">
        <v>34.52</v>
      </c>
      <c r="D26" s="9" t="s">
        <v>134</v>
      </c>
    </row>
    <row r="27">
      <c r="A27" s="34">
        <v>46011.0</v>
      </c>
      <c r="B27" s="6" t="s">
        <v>488</v>
      </c>
      <c r="C27" s="4">
        <v>11.29</v>
      </c>
      <c r="D27" s="9" t="s">
        <v>126</v>
      </c>
    </row>
    <row r="28">
      <c r="A28" s="34">
        <v>46011.0</v>
      </c>
      <c r="B28" s="6" t="s">
        <v>702</v>
      </c>
      <c r="C28" s="4">
        <v>23.08</v>
      </c>
      <c r="D28" s="9" t="s">
        <v>145</v>
      </c>
    </row>
    <row r="29">
      <c r="A29" s="34">
        <v>46011.0</v>
      </c>
      <c r="B29" s="6" t="s">
        <v>703</v>
      </c>
      <c r="C29" s="4">
        <v>51.22</v>
      </c>
      <c r="D29" s="9" t="s">
        <v>137</v>
      </c>
    </row>
    <row r="30">
      <c r="A30" s="34">
        <v>46011.0</v>
      </c>
      <c r="B30" s="6" t="s">
        <v>565</v>
      </c>
      <c r="C30" s="4">
        <v>45.2</v>
      </c>
      <c r="D30" s="9" t="s">
        <v>152</v>
      </c>
    </row>
    <row r="31">
      <c r="A31" s="34">
        <v>46009.0</v>
      </c>
      <c r="B31" s="26" t="s">
        <v>142</v>
      </c>
      <c r="C31" s="4">
        <v>14.68</v>
      </c>
      <c r="D31" s="9" t="s">
        <v>124</v>
      </c>
    </row>
    <row r="32">
      <c r="A32" s="34">
        <v>46009.0</v>
      </c>
      <c r="B32" s="6" t="s">
        <v>704</v>
      </c>
      <c r="C32" s="4">
        <v>34.01</v>
      </c>
      <c r="D32" s="9" t="s">
        <v>145</v>
      </c>
    </row>
    <row r="33">
      <c r="A33" s="34">
        <v>46008.0</v>
      </c>
      <c r="B33" s="6" t="s">
        <v>705</v>
      </c>
      <c r="C33" s="4">
        <v>21.33</v>
      </c>
      <c r="D33" s="9" t="s">
        <v>145</v>
      </c>
    </row>
    <row r="34">
      <c r="A34" s="34">
        <v>46008.0</v>
      </c>
      <c r="B34" s="6" t="s">
        <v>159</v>
      </c>
      <c r="C34" s="4">
        <v>244.34</v>
      </c>
      <c r="D34" s="9" t="s">
        <v>110</v>
      </c>
    </row>
    <row r="35">
      <c r="A35" s="34">
        <v>46008.0</v>
      </c>
      <c r="B35" s="6" t="s">
        <v>706</v>
      </c>
      <c r="C35" s="4">
        <v>34.1</v>
      </c>
      <c r="D35" s="9" t="s">
        <v>145</v>
      </c>
    </row>
    <row r="36">
      <c r="A36" s="34">
        <v>46006.0</v>
      </c>
      <c r="B36" s="6" t="s">
        <v>488</v>
      </c>
      <c r="C36" s="4">
        <v>6.77</v>
      </c>
      <c r="D36" s="9" t="s">
        <v>126</v>
      </c>
    </row>
    <row r="37">
      <c r="A37" s="34">
        <v>46005.0</v>
      </c>
      <c r="B37" s="6" t="s">
        <v>566</v>
      </c>
      <c r="C37" s="4">
        <v>11.61</v>
      </c>
      <c r="D37" s="9" t="s">
        <v>134</v>
      </c>
    </row>
    <row r="38">
      <c r="A38" s="34">
        <v>46004.0</v>
      </c>
      <c r="B38" s="6" t="s">
        <v>173</v>
      </c>
      <c r="C38" s="4">
        <v>11.29</v>
      </c>
      <c r="D38" s="9" t="s">
        <v>126</v>
      </c>
    </row>
    <row r="39">
      <c r="A39" s="34">
        <v>46002.0</v>
      </c>
      <c r="B39" s="6" t="s">
        <v>443</v>
      </c>
      <c r="C39" s="4">
        <v>51.87</v>
      </c>
      <c r="D39" s="9" t="s">
        <v>137</v>
      </c>
    </row>
    <row r="40">
      <c r="A40" s="34">
        <v>46001.0</v>
      </c>
      <c r="B40" s="6" t="s">
        <v>488</v>
      </c>
      <c r="C40" s="4">
        <v>5.64</v>
      </c>
      <c r="D40" s="9" t="s">
        <v>126</v>
      </c>
    </row>
    <row r="41">
      <c r="A41" s="34">
        <v>46001.0</v>
      </c>
      <c r="B41" s="6" t="s">
        <v>707</v>
      </c>
      <c r="C41" s="4">
        <v>18.13</v>
      </c>
      <c r="D41" s="9" t="s">
        <v>145</v>
      </c>
    </row>
    <row r="42">
      <c r="A42" s="30">
        <v>46000.0</v>
      </c>
      <c r="B42" s="6" t="s">
        <v>225</v>
      </c>
      <c r="C42" s="4">
        <v>51.62</v>
      </c>
      <c r="D42" s="9" t="s">
        <v>110</v>
      </c>
    </row>
    <row r="43">
      <c r="A43" s="30">
        <v>46000.0</v>
      </c>
      <c r="B43" s="6" t="s">
        <v>607</v>
      </c>
      <c r="C43" s="4">
        <v>8.25</v>
      </c>
      <c r="D43" s="9" t="s">
        <v>268</v>
      </c>
    </row>
    <row r="44">
      <c r="A44" s="30">
        <v>45999.0</v>
      </c>
      <c r="B44" s="6" t="s">
        <v>708</v>
      </c>
      <c r="C44" s="4">
        <v>689.29</v>
      </c>
      <c r="D44" s="9" t="s">
        <v>141</v>
      </c>
    </row>
    <row r="45">
      <c r="A45" s="30">
        <v>45999.0</v>
      </c>
      <c r="B45" s="6" t="s">
        <v>524</v>
      </c>
      <c r="C45" s="4">
        <v>50.0</v>
      </c>
      <c r="D45" s="9" t="s">
        <v>132</v>
      </c>
    </row>
    <row r="46">
      <c r="A46" s="30">
        <v>45999.0</v>
      </c>
      <c r="B46" s="6" t="s">
        <v>133</v>
      </c>
      <c r="C46" s="4">
        <v>38.75</v>
      </c>
      <c r="D46" s="9" t="s">
        <v>134</v>
      </c>
    </row>
    <row r="47">
      <c r="A47" s="30">
        <v>45998.0</v>
      </c>
      <c r="B47" s="6" t="s">
        <v>488</v>
      </c>
      <c r="C47" s="4">
        <v>6.2</v>
      </c>
      <c r="D47" s="9" t="s">
        <v>126</v>
      </c>
    </row>
    <row r="48">
      <c r="A48" s="30">
        <v>45997.0</v>
      </c>
      <c r="B48" s="6" t="s">
        <v>506</v>
      </c>
      <c r="C48" s="4">
        <v>50.0</v>
      </c>
      <c r="D48" s="9" t="s">
        <v>131</v>
      </c>
    </row>
    <row r="49">
      <c r="A49" s="30">
        <v>45997.0</v>
      </c>
      <c r="B49" s="6" t="s">
        <v>566</v>
      </c>
      <c r="C49" s="4">
        <v>11.61</v>
      </c>
      <c r="D49" s="9" t="s">
        <v>134</v>
      </c>
    </row>
    <row r="50">
      <c r="A50" s="30">
        <v>45996.0</v>
      </c>
      <c r="B50" s="26" t="s">
        <v>142</v>
      </c>
      <c r="C50" s="4">
        <v>10.16</v>
      </c>
      <c r="D50" s="9" t="s">
        <v>124</v>
      </c>
    </row>
    <row r="51">
      <c r="A51" s="30">
        <v>45996.0</v>
      </c>
      <c r="B51" s="26" t="s">
        <v>619</v>
      </c>
      <c r="C51" s="4">
        <v>32.39</v>
      </c>
      <c r="D51" s="9" t="s">
        <v>145</v>
      </c>
    </row>
    <row r="52">
      <c r="A52" s="30">
        <v>45995.0</v>
      </c>
      <c r="B52" s="6" t="s">
        <v>709</v>
      </c>
      <c r="C52" s="4">
        <v>30.5</v>
      </c>
      <c r="D52" s="9" t="s">
        <v>134</v>
      </c>
    </row>
    <row r="53">
      <c r="A53" s="30">
        <v>45995.0</v>
      </c>
      <c r="B53" s="26" t="s">
        <v>710</v>
      </c>
      <c r="C53" s="4">
        <v>586.47</v>
      </c>
      <c r="D53" s="9" t="s">
        <v>124</v>
      </c>
    </row>
    <row r="54">
      <c r="A54" s="30">
        <v>45995.0</v>
      </c>
      <c r="B54" s="26" t="s">
        <v>710</v>
      </c>
      <c r="C54" s="4">
        <v>70.0</v>
      </c>
      <c r="D54" s="9" t="s">
        <v>124</v>
      </c>
    </row>
    <row r="55">
      <c r="A55" s="30">
        <v>45992.0</v>
      </c>
      <c r="B55" s="6" t="s">
        <v>488</v>
      </c>
      <c r="C55" s="4">
        <v>1.7</v>
      </c>
      <c r="D55" s="9" t="s">
        <v>126</v>
      </c>
    </row>
    <row r="56">
      <c r="A56" s="30">
        <v>45992.0</v>
      </c>
      <c r="B56" s="6" t="s">
        <v>385</v>
      </c>
      <c r="C56" s="4">
        <v>79.1</v>
      </c>
      <c r="D56" s="9" t="s">
        <v>326</v>
      </c>
    </row>
    <row r="57">
      <c r="A57" s="24"/>
      <c r="B57" s="6"/>
      <c r="C57" s="4"/>
    </row>
    <row r="58">
      <c r="A58" s="24"/>
      <c r="B58" s="6"/>
      <c r="C58" s="4"/>
    </row>
    <row r="59">
      <c r="A59" s="33"/>
      <c r="B59" s="6"/>
      <c r="C59" s="4"/>
    </row>
    <row r="60">
      <c r="A60" s="33"/>
      <c r="B60" s="6"/>
      <c r="C60" s="4"/>
    </row>
    <row r="61">
      <c r="A61" s="33"/>
      <c r="B61" s="6"/>
      <c r="C61" s="4"/>
    </row>
    <row r="62">
      <c r="A62" s="33"/>
      <c r="B62" s="6"/>
      <c r="C62" s="4"/>
    </row>
    <row r="63">
      <c r="A63" s="33"/>
      <c r="B63" s="6"/>
      <c r="C63" s="4"/>
    </row>
    <row r="64">
      <c r="A64" s="33"/>
      <c r="B64" s="6"/>
      <c r="C64" s="4"/>
    </row>
    <row r="65">
      <c r="A65" s="31"/>
      <c r="B65" s="6"/>
      <c r="C65" s="4"/>
    </row>
    <row r="66">
      <c r="A66" s="31"/>
      <c r="B66" s="6"/>
      <c r="C66" s="4"/>
    </row>
    <row r="67">
      <c r="A67" s="31"/>
      <c r="B67" s="6"/>
      <c r="C67" s="4"/>
    </row>
    <row r="68">
      <c r="A68" s="31"/>
      <c r="B68" s="6"/>
      <c r="C68" s="4"/>
    </row>
    <row r="69">
      <c r="A69" s="33"/>
      <c r="B69" s="6"/>
      <c r="C69" s="4"/>
    </row>
    <row r="70">
      <c r="A70" s="33"/>
      <c r="B70" s="6"/>
      <c r="C70" s="4"/>
    </row>
    <row r="71">
      <c r="A71" s="31"/>
      <c r="B71" s="6"/>
      <c r="C71" s="4"/>
    </row>
    <row r="72">
      <c r="A72" s="31"/>
      <c r="B72" s="6"/>
      <c r="C72" s="4"/>
    </row>
    <row r="73">
      <c r="A73" s="31"/>
      <c r="B73" s="6"/>
      <c r="C73" s="4"/>
    </row>
    <row r="74">
      <c r="A74" s="33"/>
      <c r="B74" s="6"/>
      <c r="C74" s="4"/>
    </row>
    <row r="75">
      <c r="A75" s="33"/>
      <c r="B75" s="6"/>
      <c r="C75" s="4"/>
    </row>
    <row r="76">
      <c r="A76" s="33"/>
      <c r="B76" s="6"/>
      <c r="C76" s="4"/>
    </row>
    <row r="77">
      <c r="A77" s="24"/>
      <c r="B77" s="6"/>
      <c r="C77" s="4"/>
    </row>
    <row r="78">
      <c r="A78" s="30"/>
      <c r="B78" s="6"/>
      <c r="C78" s="11"/>
    </row>
    <row r="79">
      <c r="A79" s="30"/>
      <c r="B79" s="26"/>
      <c r="C79" s="11"/>
    </row>
    <row r="80">
      <c r="A80" s="30"/>
      <c r="B80" s="26"/>
      <c r="C80" s="11"/>
    </row>
    <row r="81">
      <c r="A81" s="30"/>
      <c r="B81" s="6"/>
      <c r="C81" s="11"/>
    </row>
    <row r="82">
      <c r="A82" s="30"/>
      <c r="B82" s="6"/>
      <c r="C82" s="11"/>
    </row>
    <row r="83">
      <c r="A83" s="30"/>
      <c r="B83" s="6"/>
      <c r="C83" s="11"/>
    </row>
    <row r="84">
      <c r="A84" s="30"/>
      <c r="B84" s="6"/>
      <c r="C84" s="11"/>
    </row>
    <row r="85">
      <c r="A85" s="30"/>
      <c r="B85" s="6"/>
      <c r="C85" s="11"/>
    </row>
    <row r="86">
      <c r="A86" s="30"/>
      <c r="B86" s="6"/>
      <c r="C86" s="11"/>
    </row>
    <row r="87">
      <c r="A87" s="30"/>
      <c r="B87" s="6"/>
      <c r="C87" s="11"/>
    </row>
    <row r="88">
      <c r="A88" s="30"/>
      <c r="B88" s="26"/>
      <c r="C88" s="11"/>
    </row>
    <row r="89">
      <c r="A89" s="30"/>
      <c r="B89" s="6"/>
      <c r="C89" s="11"/>
    </row>
    <row r="90">
      <c r="A90" s="30"/>
      <c r="B90" s="6"/>
      <c r="C90" s="11"/>
    </row>
    <row r="91">
      <c r="A91" s="30"/>
      <c r="B91" s="6"/>
      <c r="C91" s="11"/>
    </row>
    <row r="92">
      <c r="A92" s="30"/>
      <c r="B92" s="6"/>
      <c r="C92" s="11"/>
    </row>
    <row r="93">
      <c r="A93" s="30"/>
      <c r="B93" s="26"/>
      <c r="C93" s="11"/>
    </row>
    <row r="94">
      <c r="A94" s="30"/>
      <c r="B94" s="6"/>
      <c r="C94" s="11"/>
    </row>
    <row r="95">
      <c r="A95" s="30"/>
      <c r="B95" s="6"/>
      <c r="C95" s="11"/>
    </row>
    <row r="96">
      <c r="A96" s="30"/>
      <c r="B96" s="6"/>
      <c r="C96" s="11"/>
    </row>
    <row r="97">
      <c r="A97" s="30"/>
      <c r="B97" s="6"/>
      <c r="C97" s="11"/>
    </row>
    <row r="98">
      <c r="A98" s="30"/>
      <c r="B98" s="6"/>
      <c r="C98" s="11"/>
    </row>
    <row r="99">
      <c r="A99" s="30"/>
      <c r="B99" s="6"/>
      <c r="C99" s="11"/>
    </row>
    <row r="100">
      <c r="A100" s="30"/>
      <c r="B100" s="6"/>
      <c r="C100" s="11"/>
    </row>
  </sheetData>
  <autoFilter ref="$A$1:$Y$854">
    <sortState ref="A1:Y854">
      <sortCondition ref="D1:D854"/>
      <sortCondition descending="1" ref="A1:A854"/>
    </sortState>
  </autoFilter>
  <dataValidations>
    <dataValidation type="list" allowBlank="1" showErrorMessage="1" sqref="D2:D56">
      <formula1>"SPOTIFY SUB,GROCERIES,PET FOOD/TOYS,PRIME VIDEO SUB,DAY CARE,GAS,MISC,COFFEE,UBER,DELIVERY,DINE IN,TAKE OUT,TELUS SECURITY,HOME,APPLE SUB,CHARITY,HEALTH &amp; BEAUTY,TRAVEL,MOBILE,ALCOHOL,CANNABIS,GIFTS,NEWSPAPERS,ENTERTAINMENT,PAYMENT,INTERNET,RELIANCE,CANNA"&amp;"BIS,CLOTHES,YOUTUBE SUB,CANVA SUB,IPSY SUB,NETFLIX,INSURANCE,CAR EXPENSES,DISNEY PLUS SUB,VET BILLS"</formula1>
    </dataValidation>
  </dataValidations>
  <hyperlinks>
    <hyperlink r:id="rId2" ref="B31"/>
    <hyperlink r:id="rId3" ref="B50"/>
    <hyperlink r:id="rId4" ref="B51"/>
    <hyperlink r:id="rId5" ref="B53"/>
    <hyperlink r:id="rId6" ref="B54"/>
  </hyperlinks>
  <drawing r:id="rId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5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1497.82</v>
      </c>
      <c r="C4" s="38"/>
      <c r="D4" s="6"/>
    </row>
    <row r="5">
      <c r="A5" s="6" t="s">
        <v>17</v>
      </c>
      <c r="B5" s="11">
        <f>SUM(2842.82+2831.63)</f>
        <v>5674.45</v>
      </c>
      <c r="C5" s="39">
        <f>B5/B7</f>
        <v>0.59547021</v>
      </c>
      <c r="D5" s="6"/>
    </row>
    <row r="6">
      <c r="A6" s="6" t="s">
        <v>25</v>
      </c>
      <c r="B6" s="11">
        <f>1979.03+1875.88</f>
        <v>3854.91</v>
      </c>
      <c r="C6" s="39">
        <f>B6/B7</f>
        <v>0.40452979</v>
      </c>
      <c r="D6" s="6"/>
    </row>
    <row r="7">
      <c r="A7" s="6" t="s">
        <v>714</v>
      </c>
      <c r="B7" s="11">
        <f>SUM(B5:B6)</f>
        <v>9529.36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</row>
    <row r="10">
      <c r="A10" s="9" t="s">
        <v>64</v>
      </c>
      <c r="B10" s="40">
        <v>1711.29</v>
      </c>
      <c r="C10" s="11">
        <f>B10*C5</f>
        <v>1019.022216</v>
      </c>
      <c r="D10" s="11">
        <f>B10*C6</f>
        <v>692.2677844</v>
      </c>
    </row>
    <row r="11">
      <c r="A11" s="6" t="s">
        <v>716</v>
      </c>
      <c r="B11" s="40">
        <v>39.64</v>
      </c>
      <c r="C11" s="11">
        <f>B11*C5</f>
        <v>23.60443912</v>
      </c>
      <c r="D11" s="11">
        <f>B11*C6</f>
        <v>16.03556088</v>
      </c>
    </row>
    <row r="12">
      <c r="A12" s="9" t="s">
        <v>69</v>
      </c>
      <c r="B12" s="40">
        <v>211.95</v>
      </c>
      <c r="C12" s="11">
        <f>B12*C5</f>
        <v>126.209911</v>
      </c>
      <c r="D12" s="11">
        <f>B12*C6</f>
        <v>85.740089</v>
      </c>
    </row>
    <row r="13">
      <c r="A13" s="6" t="s">
        <v>63</v>
      </c>
      <c r="B13" s="40">
        <v>0.0</v>
      </c>
      <c r="C13" s="11">
        <f>B13*C5</f>
        <v>0</v>
      </c>
      <c r="D13" s="11">
        <f>B13*C6</f>
        <v>0</v>
      </c>
    </row>
    <row r="14">
      <c r="A14" s="9" t="s">
        <v>68</v>
      </c>
      <c r="B14" s="40">
        <v>161.78</v>
      </c>
      <c r="C14" s="11">
        <f>B14*C5</f>
        <v>96.33517057</v>
      </c>
      <c r="D14" s="11">
        <f>B14*C6</f>
        <v>65.44482943</v>
      </c>
    </row>
    <row r="15">
      <c r="A15" s="9" t="s">
        <v>717</v>
      </c>
      <c r="B15" s="40">
        <v>39.55</v>
      </c>
      <c r="C15" s="11">
        <f>B15*C5</f>
        <v>23.5508468</v>
      </c>
      <c r="D15" s="11">
        <f>B15*C6</f>
        <v>15.9991532</v>
      </c>
    </row>
    <row r="16">
      <c r="A16" s="6" t="s">
        <v>70</v>
      </c>
      <c r="B16" s="40">
        <v>220.92</v>
      </c>
      <c r="C16" s="11">
        <f>B16*C5</f>
        <v>131.5512788</v>
      </c>
      <c r="D16" s="11">
        <f>B16*C6</f>
        <v>89.36872122</v>
      </c>
    </row>
    <row r="17">
      <c r="A17" s="6" t="s">
        <v>718</v>
      </c>
      <c r="B17" s="41">
        <v>526.15</v>
      </c>
      <c r="C17" s="11">
        <f>B17*C5</f>
        <v>313.306651</v>
      </c>
      <c r="D17" s="11">
        <f>B17*C6</f>
        <v>212.843349</v>
      </c>
    </row>
    <row r="18">
      <c r="A18" s="6" t="s">
        <v>719</v>
      </c>
      <c r="B18" s="40">
        <v>184.62</v>
      </c>
      <c r="C18" s="11">
        <f>B18*C5</f>
        <v>109.9357102</v>
      </c>
      <c r="D18" s="11">
        <f>B18*C6</f>
        <v>74.68428984</v>
      </c>
    </row>
    <row r="19">
      <c r="A19" s="6" t="s">
        <v>720</v>
      </c>
      <c r="B19" s="40">
        <v>229.3</v>
      </c>
      <c r="C19" s="11">
        <f>B19*C5</f>
        <v>136.5413191</v>
      </c>
      <c r="D19" s="11">
        <f>B19*C6</f>
        <v>92.75868086</v>
      </c>
    </row>
    <row r="20">
      <c r="A20" s="9" t="s">
        <v>71</v>
      </c>
      <c r="B20" s="40">
        <f>158.58*2</f>
        <v>317.16</v>
      </c>
      <c r="C20" s="42"/>
      <c r="D20" s="42">
        <f>B20</f>
        <v>317.16</v>
      </c>
    </row>
    <row r="21">
      <c r="A21" s="1"/>
      <c r="B21" s="42"/>
      <c r="C21" s="42"/>
      <c r="D21" s="42"/>
    </row>
    <row r="22">
      <c r="A22" s="1" t="s">
        <v>721</v>
      </c>
      <c r="B22" s="42"/>
      <c r="C22" s="42"/>
      <c r="D22" s="42"/>
    </row>
    <row r="23">
      <c r="A23" s="6"/>
      <c r="B23" s="11">
        <f>B7*0.25</f>
        <v>2382.34</v>
      </c>
      <c r="C23" s="11">
        <f>B23*C5</f>
        <v>1418.6125</v>
      </c>
      <c r="D23" s="11">
        <f>B23*C6</f>
        <v>963.7275</v>
      </c>
    </row>
    <row r="24">
      <c r="A24" s="6"/>
      <c r="B24" s="6"/>
      <c r="C24" s="6"/>
      <c r="D24" s="6"/>
    </row>
    <row r="25">
      <c r="A25" s="6" t="s">
        <v>722</v>
      </c>
      <c r="B25" s="11">
        <f t="shared" ref="B25:D25" si="1">SUM(B10:B23)</f>
        <v>6024.7</v>
      </c>
      <c r="C25" s="11">
        <f t="shared" si="1"/>
        <v>3398.670042</v>
      </c>
      <c r="D25" s="11">
        <f t="shared" si="1"/>
        <v>2626.029958</v>
      </c>
    </row>
    <row r="26">
      <c r="A26" s="6"/>
      <c r="B26" s="6"/>
      <c r="C26" s="6"/>
      <c r="D26" s="6"/>
    </row>
    <row r="27">
      <c r="A27" s="6" t="s">
        <v>723</v>
      </c>
      <c r="B27" s="6"/>
      <c r="C27" s="11">
        <f>B5-C25</f>
        <v>2275.779958</v>
      </c>
      <c r="D27" s="11">
        <f>B6-D25</f>
        <v>1228.880042</v>
      </c>
    </row>
    <row r="28">
      <c r="A28" s="43">
        <v>45672.0</v>
      </c>
      <c r="B28" s="6"/>
      <c r="C28" s="11">
        <f t="shared" ref="C28:D28" si="2">C27/2</f>
        <v>1137.889979</v>
      </c>
      <c r="D28" s="11">
        <f t="shared" si="2"/>
        <v>614.4400211</v>
      </c>
    </row>
    <row r="29">
      <c r="A29" s="43">
        <v>45687.0</v>
      </c>
      <c r="B29" s="6"/>
      <c r="C29" s="11">
        <f t="shared" ref="C29:D29" si="3">C27/2</f>
        <v>1137.889979</v>
      </c>
      <c r="D29" s="11">
        <f t="shared" si="3"/>
        <v>614.4400211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>
        <v>7120.29</v>
      </c>
      <c r="C34" s="6"/>
      <c r="D34" s="6"/>
    </row>
    <row r="35">
      <c r="A35" s="6" t="s">
        <v>726</v>
      </c>
      <c r="B35" s="45">
        <v>1197.36</v>
      </c>
      <c r="C35" s="6"/>
      <c r="D35" s="6"/>
    </row>
    <row r="36">
      <c r="A36" s="6" t="s">
        <v>727</v>
      </c>
      <c r="B36" s="46">
        <v>1500.0</v>
      </c>
      <c r="C36" s="6"/>
      <c r="D36" s="6"/>
    </row>
    <row r="37">
      <c r="B37" s="47">
        <f>SUM(B34:B36)</f>
        <v>9817.65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6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1955.54</v>
      </c>
      <c r="C4" s="38"/>
      <c r="D4" s="6"/>
    </row>
    <row r="5">
      <c r="A5" s="6" t="s">
        <v>17</v>
      </c>
      <c r="B5" s="11">
        <f>2116.57+2831.63</f>
        <v>4948.2</v>
      </c>
      <c r="C5" s="39">
        <f>B5/B7</f>
        <v>0.5555892399</v>
      </c>
      <c r="D5" s="6"/>
    </row>
    <row r="6">
      <c r="A6" s="6" t="s">
        <v>25</v>
      </c>
      <c r="B6" s="11">
        <f>1979.01*2</f>
        <v>3958.02</v>
      </c>
      <c r="C6" s="39">
        <f>B6/B7</f>
        <v>0.4444107601</v>
      </c>
      <c r="D6" s="6"/>
    </row>
    <row r="7">
      <c r="A7" s="6" t="s">
        <v>714</v>
      </c>
      <c r="B7" s="11">
        <f>SUM(B5:B6)</f>
        <v>8906.22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950.7743103</v>
      </c>
      <c r="D10" s="11">
        <f>B10*C6</f>
        <v>760.5156897</v>
      </c>
      <c r="E10" s="48">
        <v>45691.0</v>
      </c>
      <c r="F10" s="2" t="s">
        <v>729</v>
      </c>
    </row>
    <row r="11">
      <c r="A11" s="6" t="s">
        <v>716</v>
      </c>
      <c r="B11" s="40">
        <v>39.64</v>
      </c>
      <c r="C11" s="11">
        <f>B11*C5</f>
        <v>22.02355747</v>
      </c>
      <c r="D11" s="11">
        <f>B11*C6</f>
        <v>17.61644253</v>
      </c>
      <c r="E11" s="48">
        <v>45702.0</v>
      </c>
      <c r="F11" s="2" t="s">
        <v>729</v>
      </c>
    </row>
    <row r="12">
      <c r="A12" s="9" t="s">
        <v>730</v>
      </c>
      <c r="B12" s="40">
        <v>211.95</v>
      </c>
      <c r="C12" s="11">
        <f>B12*C5</f>
        <v>117.7571394</v>
      </c>
      <c r="D12" s="11">
        <f>B12*C6</f>
        <v>94.19286061</v>
      </c>
      <c r="E12" s="48">
        <v>45716.0</v>
      </c>
    </row>
    <row r="13">
      <c r="A13" s="6" t="s">
        <v>63</v>
      </c>
      <c r="B13" s="40">
        <v>0.0</v>
      </c>
      <c r="C13" s="11">
        <f>B13*C5</f>
        <v>0</v>
      </c>
      <c r="D13" s="11">
        <f>B13*C6</f>
        <v>0</v>
      </c>
    </row>
    <row r="14">
      <c r="A14" s="9" t="s">
        <v>68</v>
      </c>
      <c r="B14" s="40">
        <v>161.78</v>
      </c>
      <c r="C14" s="11">
        <f>B14*C5</f>
        <v>89.88322723</v>
      </c>
      <c r="D14" s="11">
        <f>B14*C6</f>
        <v>71.89677277</v>
      </c>
      <c r="E14" s="48">
        <v>45716.0</v>
      </c>
    </row>
    <row r="15">
      <c r="A15" s="9" t="s">
        <v>717</v>
      </c>
      <c r="B15" s="40">
        <v>39.55</v>
      </c>
      <c r="C15" s="11">
        <f>B15*C5</f>
        <v>21.97355444</v>
      </c>
      <c r="D15" s="11">
        <f>B15*C6</f>
        <v>17.57644556</v>
      </c>
      <c r="E15" s="48">
        <v>45707.0</v>
      </c>
    </row>
    <row r="16">
      <c r="A16" s="6" t="s">
        <v>70</v>
      </c>
      <c r="B16" s="40">
        <v>236.5</v>
      </c>
      <c r="C16" s="11">
        <f>B16*C5</f>
        <v>131.3968552</v>
      </c>
      <c r="D16" s="11">
        <f>B16*C6</f>
        <v>105.1031448</v>
      </c>
      <c r="E16" s="48">
        <v>45708.0</v>
      </c>
    </row>
    <row r="17">
      <c r="A17" s="6" t="s">
        <v>718</v>
      </c>
      <c r="B17" s="40">
        <v>110.13</v>
      </c>
      <c r="C17" s="11">
        <f>B17*C5</f>
        <v>61.18704299</v>
      </c>
      <c r="D17" s="11">
        <f>B17*C6</f>
        <v>48.94295701</v>
      </c>
      <c r="E17" s="48">
        <v>45712.0</v>
      </c>
    </row>
    <row r="18">
      <c r="A18" s="6" t="s">
        <v>719</v>
      </c>
      <c r="B18" s="40">
        <v>125.71</v>
      </c>
      <c r="C18" s="11">
        <f>B18*C5</f>
        <v>69.84312335</v>
      </c>
      <c r="D18" s="11">
        <f>B18*C6</f>
        <v>55.86687665</v>
      </c>
      <c r="E18" s="48">
        <v>45704.0</v>
      </c>
      <c r="F18" s="2" t="s">
        <v>729</v>
      </c>
    </row>
    <row r="19">
      <c r="A19" s="6" t="s">
        <v>720</v>
      </c>
      <c r="B19" s="40">
        <v>258.4</v>
      </c>
      <c r="C19" s="11">
        <f>B19*C5</f>
        <v>143.5642596</v>
      </c>
      <c r="D19" s="11">
        <f>B19*C6</f>
        <v>114.8357404</v>
      </c>
      <c r="E19" s="48">
        <v>45704.0</v>
      </c>
      <c r="F19" s="2" t="s">
        <v>729</v>
      </c>
    </row>
    <row r="20">
      <c r="A20" s="9" t="s">
        <v>71</v>
      </c>
      <c r="B20" s="42">
        <f>158.58*2</f>
        <v>317.16</v>
      </c>
      <c r="C20" s="42"/>
      <c r="D20" s="42"/>
    </row>
    <row r="21">
      <c r="A21" s="1"/>
      <c r="B21" s="42"/>
      <c r="C21" s="42"/>
      <c r="D21" s="42"/>
    </row>
    <row r="22">
      <c r="A22" s="1" t="s">
        <v>721</v>
      </c>
      <c r="B22" s="42"/>
      <c r="C22" s="42"/>
      <c r="D22" s="42"/>
    </row>
    <row r="23">
      <c r="A23" s="6"/>
      <c r="B23" s="11">
        <f>B7*0.25</f>
        <v>2226.555</v>
      </c>
      <c r="C23" s="11">
        <f>B23*C5</f>
        <v>1237.05</v>
      </c>
      <c r="D23" s="11">
        <f>B23*C6</f>
        <v>989.505</v>
      </c>
    </row>
    <row r="24">
      <c r="A24" s="6"/>
      <c r="B24" s="6"/>
      <c r="C24" s="6"/>
      <c r="D24" s="6"/>
    </row>
    <row r="25">
      <c r="A25" s="6" t="s">
        <v>722</v>
      </c>
      <c r="B25" s="11">
        <f t="shared" ref="B25:D25" si="1">SUM(B10:B23)</f>
        <v>5438.665</v>
      </c>
      <c r="C25" s="11">
        <f t="shared" si="1"/>
        <v>2845.45307</v>
      </c>
      <c r="D25" s="11">
        <f t="shared" si="1"/>
        <v>2276.05193</v>
      </c>
    </row>
    <row r="26">
      <c r="A26" s="6"/>
      <c r="B26" s="6"/>
      <c r="C26" s="6"/>
      <c r="D26" s="6"/>
    </row>
    <row r="27">
      <c r="A27" s="6" t="s">
        <v>723</v>
      </c>
      <c r="B27" s="6"/>
      <c r="C27" s="11">
        <f>B5-C25</f>
        <v>2102.74693</v>
      </c>
      <c r="D27" s="11">
        <f>B6-D25</f>
        <v>1681.96807</v>
      </c>
    </row>
    <row r="28">
      <c r="A28" s="43">
        <v>45703.0</v>
      </c>
      <c r="B28" s="6"/>
      <c r="C28" s="11">
        <f t="shared" ref="C28:D28" si="2">C27/2</f>
        <v>1051.373465</v>
      </c>
      <c r="D28" s="11">
        <f t="shared" si="2"/>
        <v>840.984035</v>
      </c>
    </row>
    <row r="29">
      <c r="A29" s="43">
        <v>45716.0</v>
      </c>
      <c r="B29" s="6"/>
      <c r="C29" s="11">
        <f t="shared" ref="C29:D29" si="3">C27/2</f>
        <v>1051.373465</v>
      </c>
      <c r="D29" s="11">
        <f t="shared" si="3"/>
        <v>840.984035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>
        <v>5287.46</v>
      </c>
      <c r="C34" s="6"/>
      <c r="D34" s="6"/>
    </row>
    <row r="35">
      <c r="A35" s="6" t="s">
        <v>726</v>
      </c>
      <c r="B35" s="45">
        <v>859.07</v>
      </c>
      <c r="C35" s="6"/>
      <c r="D35" s="6"/>
    </row>
    <row r="36">
      <c r="A36" s="6" t="s">
        <v>727</v>
      </c>
      <c r="B36" s="46"/>
      <c r="C36" s="6"/>
      <c r="D36" s="6"/>
    </row>
    <row r="37">
      <c r="B37" s="1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7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1161.07</v>
      </c>
      <c r="C4" s="38"/>
      <c r="D4" s="6"/>
    </row>
    <row r="5">
      <c r="A5" s="6" t="s">
        <v>17</v>
      </c>
      <c r="B5" s="11">
        <f>2934.84+2754+54</f>
        <v>5742.84</v>
      </c>
      <c r="C5" s="39">
        <f>B5/B7</f>
        <v>0.5919928749</v>
      </c>
      <c r="D5" s="6"/>
    </row>
    <row r="6">
      <c r="A6" s="6" t="s">
        <v>25</v>
      </c>
      <c r="B6" s="11">
        <f>1979.01*2</f>
        <v>3958.02</v>
      </c>
      <c r="C6" s="39">
        <f>B6/B7</f>
        <v>0.4080071251</v>
      </c>
      <c r="D6" s="6"/>
    </row>
    <row r="7">
      <c r="A7" s="6" t="s">
        <v>714</v>
      </c>
      <c r="B7" s="11">
        <f>SUM(B5:B6)</f>
        <v>9700.86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1013.071487</v>
      </c>
      <c r="D10" s="11">
        <f>B10*C6</f>
        <v>698.2185132</v>
      </c>
      <c r="E10" s="48">
        <v>45717.0</v>
      </c>
      <c r="F10" s="2" t="s">
        <v>729</v>
      </c>
    </row>
    <row r="11">
      <c r="A11" s="6" t="s">
        <v>716</v>
      </c>
      <c r="B11" s="40">
        <v>39.64</v>
      </c>
      <c r="C11" s="11">
        <f>B11*C5</f>
        <v>23.46659756</v>
      </c>
      <c r="D11" s="11">
        <f>B11*C6</f>
        <v>16.17340244</v>
      </c>
      <c r="E11" s="48">
        <v>45730.0</v>
      </c>
    </row>
    <row r="12">
      <c r="A12" s="9" t="s">
        <v>730</v>
      </c>
      <c r="B12" s="40">
        <v>211.95</v>
      </c>
      <c r="C12" s="11">
        <f>B12*C5</f>
        <v>125.4728898</v>
      </c>
      <c r="D12" s="11">
        <f>B12*C6</f>
        <v>86.47711017</v>
      </c>
      <c r="E12" s="48">
        <v>45744.0</v>
      </c>
    </row>
    <row r="13">
      <c r="A13" s="6" t="s">
        <v>63</v>
      </c>
      <c r="B13" s="40">
        <v>0.0</v>
      </c>
      <c r="C13" s="11">
        <f>B13*C5</f>
        <v>0</v>
      </c>
      <c r="D13" s="11">
        <f>B13*C6</f>
        <v>0</v>
      </c>
    </row>
    <row r="14">
      <c r="A14" s="9" t="s">
        <v>68</v>
      </c>
      <c r="B14" s="40">
        <v>161.78</v>
      </c>
      <c r="C14" s="11">
        <f>B14*C5</f>
        <v>95.77260729</v>
      </c>
      <c r="D14" s="11">
        <f>B14*C6</f>
        <v>66.00739271</v>
      </c>
      <c r="E14" s="48">
        <v>45744.0</v>
      </c>
    </row>
    <row r="15">
      <c r="A15" s="9" t="s">
        <v>717</v>
      </c>
      <c r="B15" s="40">
        <v>39.55</v>
      </c>
      <c r="C15" s="11">
        <f>B15*C5</f>
        <v>23.4133182</v>
      </c>
      <c r="D15" s="11">
        <f>B15*C6</f>
        <v>16.1366818</v>
      </c>
      <c r="E15" s="48">
        <v>45735.0</v>
      </c>
    </row>
    <row r="16">
      <c r="A16" s="6" t="s">
        <v>70</v>
      </c>
      <c r="B16" s="40">
        <v>220.92</v>
      </c>
      <c r="C16" s="11">
        <f>B16*C5</f>
        <v>130.7830659</v>
      </c>
      <c r="D16" s="11">
        <f>B16*C6</f>
        <v>90.13693409</v>
      </c>
      <c r="E16" s="48">
        <v>45736.0</v>
      </c>
    </row>
    <row r="17">
      <c r="A17" s="6" t="s">
        <v>718</v>
      </c>
      <c r="B17" s="49">
        <v>293.64</v>
      </c>
      <c r="C17" s="11">
        <f>B17*C5</f>
        <v>173.8327878</v>
      </c>
      <c r="D17" s="11">
        <f>B17*C6</f>
        <v>119.8072122</v>
      </c>
      <c r="E17" s="48">
        <v>45740.0</v>
      </c>
    </row>
    <row r="18">
      <c r="A18" s="6" t="s">
        <v>719</v>
      </c>
      <c r="B18" s="40">
        <v>173.47</v>
      </c>
      <c r="C18" s="11">
        <f>B18*C5</f>
        <v>102.693004</v>
      </c>
      <c r="D18" s="11">
        <f>B18*C6</f>
        <v>70.776996</v>
      </c>
      <c r="E18" s="48">
        <v>45732.0</v>
      </c>
    </row>
    <row r="19">
      <c r="A19" s="6" t="s">
        <v>720</v>
      </c>
      <c r="B19" s="40">
        <v>257.58</v>
      </c>
      <c r="C19" s="11">
        <f>B19*C5</f>
        <v>152.4855247</v>
      </c>
      <c r="D19" s="11">
        <f>B19*C6</f>
        <v>105.0944753</v>
      </c>
      <c r="E19" s="48">
        <v>45732.0</v>
      </c>
      <c r="F19" s="2" t="s">
        <v>729</v>
      </c>
    </row>
    <row r="20">
      <c r="A20" s="9" t="s">
        <v>71</v>
      </c>
      <c r="B20" s="42">
        <f>158.58*2</f>
        <v>317.16</v>
      </c>
      <c r="C20" s="42"/>
      <c r="D20" s="42"/>
    </row>
    <row r="21">
      <c r="A21" s="1"/>
      <c r="B21" s="42"/>
      <c r="C21" s="42"/>
      <c r="D21" s="42"/>
    </row>
    <row r="22">
      <c r="A22" s="1" t="s">
        <v>721</v>
      </c>
      <c r="B22" s="42"/>
      <c r="C22" s="42"/>
      <c r="D22" s="42"/>
    </row>
    <row r="23">
      <c r="A23" s="6"/>
      <c r="B23" s="11">
        <f>B7*0.25</f>
        <v>2425.215</v>
      </c>
      <c r="C23" s="11">
        <f>B23*C5</f>
        <v>1435.71</v>
      </c>
      <c r="D23" s="11">
        <f>B23*C6</f>
        <v>989.505</v>
      </c>
    </row>
    <row r="24">
      <c r="A24" s="6"/>
      <c r="B24" s="6"/>
      <c r="C24" s="6"/>
      <c r="D24" s="6"/>
    </row>
    <row r="25">
      <c r="A25" s="6" t="s">
        <v>722</v>
      </c>
      <c r="B25" s="11">
        <f t="shared" ref="B25:D25" si="1">SUM(B10:B23)</f>
        <v>5852.195</v>
      </c>
      <c r="C25" s="11">
        <f t="shared" si="1"/>
        <v>3276.701282</v>
      </c>
      <c r="D25" s="11">
        <f t="shared" si="1"/>
        <v>2258.333718</v>
      </c>
    </row>
    <row r="26">
      <c r="A26" s="6"/>
      <c r="B26" s="6"/>
      <c r="C26" s="6"/>
      <c r="D26" s="6"/>
    </row>
    <row r="27">
      <c r="A27" s="6" t="s">
        <v>723</v>
      </c>
      <c r="B27" s="6"/>
      <c r="C27" s="11">
        <f>B5-C25</f>
        <v>2466.138718</v>
      </c>
      <c r="D27" s="11">
        <f>B6-D25</f>
        <v>1699.686282</v>
      </c>
    </row>
    <row r="28">
      <c r="A28" s="43">
        <v>45731.0</v>
      </c>
      <c r="B28" s="6"/>
      <c r="C28" s="11">
        <f t="shared" ref="C28:D28" si="2">C27/2</f>
        <v>1233.069359</v>
      </c>
      <c r="D28" s="11">
        <f t="shared" si="2"/>
        <v>849.843141</v>
      </c>
    </row>
    <row r="29">
      <c r="A29" s="43">
        <v>45746.0</v>
      </c>
      <c r="B29" s="6"/>
      <c r="C29" s="11">
        <f t="shared" ref="C29:D29" si="3">C27/2</f>
        <v>1233.069359</v>
      </c>
      <c r="D29" s="11">
        <f t="shared" si="3"/>
        <v>849.843141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/>
      <c r="C34" s="6"/>
      <c r="D34" s="6"/>
    </row>
    <row r="35">
      <c r="A35" s="6" t="s">
        <v>726</v>
      </c>
      <c r="B35" s="45"/>
      <c r="C35" s="6"/>
      <c r="D35" s="6"/>
    </row>
    <row r="36">
      <c r="A36" s="6" t="s">
        <v>727</v>
      </c>
      <c r="B36" s="46"/>
      <c r="C36" s="6"/>
      <c r="D36" s="6"/>
    </row>
    <row r="37">
      <c r="B37" s="13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8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1623.16</v>
      </c>
      <c r="C4" s="38"/>
      <c r="D4" s="6"/>
    </row>
    <row r="5">
      <c r="A5" s="6" t="s">
        <v>17</v>
      </c>
      <c r="B5" s="11">
        <f>4159.86+5637.97</f>
        <v>9797.83</v>
      </c>
      <c r="C5" s="39">
        <f>B5/B7</f>
        <v>0.7060827366</v>
      </c>
      <c r="D5" s="6"/>
    </row>
    <row r="6">
      <c r="A6" s="6" t="s">
        <v>25</v>
      </c>
      <c r="B6" s="11">
        <f>1875.88+2202.61</f>
        <v>4078.49</v>
      </c>
      <c r="C6" s="39">
        <f>B6/B7</f>
        <v>0.2939172634</v>
      </c>
      <c r="D6" s="6"/>
    </row>
    <row r="7">
      <c r="A7" s="6" t="s">
        <v>714</v>
      </c>
      <c r="B7" s="11">
        <f>SUM(B5:B6)</f>
        <v>13876.32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1208.312326</v>
      </c>
      <c r="D10" s="11">
        <f>B10*C6</f>
        <v>502.9776736</v>
      </c>
      <c r="E10" s="48">
        <v>45748.0</v>
      </c>
    </row>
    <row r="11">
      <c r="A11" s="6" t="s">
        <v>716</v>
      </c>
      <c r="B11" s="40">
        <v>39.64</v>
      </c>
      <c r="C11" s="11">
        <f>B11*C5</f>
        <v>27.98911968</v>
      </c>
      <c r="D11" s="11">
        <f>B11*C6</f>
        <v>11.65088032</v>
      </c>
      <c r="E11" s="48">
        <v>45761.0</v>
      </c>
    </row>
    <row r="12">
      <c r="A12" s="9" t="s">
        <v>69</v>
      </c>
      <c r="B12" s="40">
        <v>211.95</v>
      </c>
      <c r="C12" s="11">
        <f>B12*C5</f>
        <v>149.654236</v>
      </c>
      <c r="D12" s="11">
        <f>B12*C6</f>
        <v>62.29576397</v>
      </c>
      <c r="E12" s="48">
        <v>45775.0</v>
      </c>
    </row>
    <row r="13">
      <c r="A13" s="6" t="s">
        <v>63</v>
      </c>
      <c r="B13" s="40">
        <v>0.0</v>
      </c>
      <c r="C13" s="11">
        <f>B13*C5</f>
        <v>0</v>
      </c>
      <c r="D13" s="11">
        <f>B13*C6</f>
        <v>0</v>
      </c>
    </row>
    <row r="14">
      <c r="A14" s="9" t="s">
        <v>68</v>
      </c>
      <c r="B14" s="40">
        <v>153.15</v>
      </c>
      <c r="C14" s="11">
        <f>B14*C5</f>
        <v>108.1365711</v>
      </c>
      <c r="D14" s="11">
        <f>B14*C6</f>
        <v>45.01342888</v>
      </c>
      <c r="E14" s="48">
        <v>45775.0</v>
      </c>
    </row>
    <row r="15">
      <c r="A15" s="9" t="s">
        <v>717</v>
      </c>
      <c r="B15" s="40">
        <v>45.2</v>
      </c>
      <c r="C15" s="11">
        <f>B15*C5</f>
        <v>31.9149397</v>
      </c>
      <c r="D15" s="11">
        <f>B15*C6</f>
        <v>13.2850603</v>
      </c>
      <c r="E15" s="48">
        <v>45766.0</v>
      </c>
    </row>
    <row r="16">
      <c r="A16" s="6" t="s">
        <v>70</v>
      </c>
      <c r="B16" s="40">
        <v>236.5</v>
      </c>
      <c r="C16" s="11">
        <f>B16*C5</f>
        <v>166.9885672</v>
      </c>
      <c r="D16" s="11">
        <f>B16*C6</f>
        <v>69.51143279</v>
      </c>
      <c r="E16" s="48">
        <v>45767.0</v>
      </c>
    </row>
    <row r="17">
      <c r="A17" s="6" t="s">
        <v>718</v>
      </c>
      <c r="B17" s="40">
        <v>141.32</v>
      </c>
      <c r="C17" s="11">
        <f>B17*C5</f>
        <v>99.78361234</v>
      </c>
      <c r="D17" s="11">
        <f>B17*C6</f>
        <v>41.53638766</v>
      </c>
      <c r="E17" s="48">
        <v>45771.0</v>
      </c>
    </row>
    <row r="18">
      <c r="A18" s="6" t="s">
        <v>719</v>
      </c>
      <c r="B18" s="40">
        <v>75.41</v>
      </c>
      <c r="C18" s="11">
        <f>B18*C5</f>
        <v>53.24569917</v>
      </c>
      <c r="D18" s="11">
        <f>B18*C6</f>
        <v>22.16430083</v>
      </c>
      <c r="E18" s="48">
        <v>45763.0</v>
      </c>
    </row>
    <row r="19">
      <c r="A19" s="6" t="s">
        <v>720</v>
      </c>
      <c r="B19" s="40">
        <v>193.49</v>
      </c>
      <c r="C19" s="11">
        <f>B19*C5</f>
        <v>136.6199487</v>
      </c>
      <c r="D19" s="11">
        <f>B19*C6</f>
        <v>56.87005129</v>
      </c>
      <c r="E19" s="48">
        <v>45763.0</v>
      </c>
    </row>
    <row r="20">
      <c r="A20" s="9" t="s">
        <v>731</v>
      </c>
      <c r="B20" s="42">
        <f>54.4</f>
        <v>54.4</v>
      </c>
      <c r="C20" s="42">
        <f>B20*C5</f>
        <v>38.41090087</v>
      </c>
      <c r="D20" s="42">
        <f>B20*C6</f>
        <v>15.98909913</v>
      </c>
    </row>
    <row r="21">
      <c r="A21" s="50" t="s">
        <v>71</v>
      </c>
      <c r="B21" s="42">
        <f>158.58*2</f>
        <v>317.16</v>
      </c>
      <c r="C21" s="42"/>
      <c r="D21" s="42"/>
    </row>
    <row r="22">
      <c r="A22" s="1" t="s">
        <v>721</v>
      </c>
      <c r="B22" s="42"/>
      <c r="C22" s="42"/>
      <c r="D22" s="42"/>
    </row>
    <row r="23">
      <c r="A23" s="6"/>
      <c r="B23" s="11">
        <f>B7*0.25</f>
        <v>3469.08</v>
      </c>
      <c r="C23" s="11">
        <f>B23*C5</f>
        <v>2449.4575</v>
      </c>
      <c r="D23" s="11">
        <f>B23*C6</f>
        <v>1019.6225</v>
      </c>
    </row>
    <row r="24">
      <c r="A24" s="6"/>
      <c r="B24" s="6"/>
      <c r="C24" s="6"/>
      <c r="D24" s="6"/>
    </row>
    <row r="25">
      <c r="A25" s="6" t="s">
        <v>722</v>
      </c>
      <c r="B25" s="11">
        <f t="shared" ref="B25:D25" si="1">SUM(B10:B23)</f>
        <v>6648.59</v>
      </c>
      <c r="C25" s="11">
        <f t="shared" si="1"/>
        <v>4470.513421</v>
      </c>
      <c r="D25" s="11">
        <f t="shared" si="1"/>
        <v>1860.916579</v>
      </c>
    </row>
    <row r="26">
      <c r="A26" s="6"/>
      <c r="B26" s="6"/>
      <c r="C26" s="6"/>
      <c r="D26" s="6"/>
    </row>
    <row r="27">
      <c r="A27" s="6" t="s">
        <v>723</v>
      </c>
      <c r="B27" s="6"/>
      <c r="C27" s="11">
        <f>B5-C25</f>
        <v>5327.316579</v>
      </c>
      <c r="D27" s="11">
        <f>B6-D25</f>
        <v>2217.573421</v>
      </c>
    </row>
    <row r="28">
      <c r="A28" s="43">
        <v>45762.0</v>
      </c>
      <c r="B28" s="6"/>
      <c r="C28" s="11">
        <f t="shared" ref="C28:D28" si="2">C27/2</f>
        <v>2663.658289</v>
      </c>
      <c r="D28" s="11">
        <f t="shared" si="2"/>
        <v>1108.786711</v>
      </c>
    </row>
    <row r="29">
      <c r="A29" s="43">
        <v>45777.0</v>
      </c>
      <c r="B29" s="6"/>
      <c r="C29" s="11">
        <f t="shared" ref="C29:D29" si="3">C27/2</f>
        <v>2663.658289</v>
      </c>
      <c r="D29" s="11">
        <f t="shared" si="3"/>
        <v>1108.786711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/>
      <c r="C34" s="6"/>
      <c r="D34" s="6"/>
    </row>
    <row r="35">
      <c r="A35" s="6" t="s">
        <v>726</v>
      </c>
      <c r="B35" s="45"/>
      <c r="C35" s="6"/>
      <c r="D35" s="6"/>
    </row>
    <row r="36">
      <c r="A36" s="6" t="s">
        <v>727</v>
      </c>
      <c r="B36" s="46"/>
      <c r="C36" s="6"/>
      <c r="D36" s="6"/>
    </row>
    <row r="37">
      <c r="B37" s="13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9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3705.38*2</f>
        <v>7410.76</v>
      </c>
      <c r="C5" s="39">
        <f>B5/B7</f>
        <v>0.6518518258</v>
      </c>
      <c r="D5" s="6"/>
    </row>
    <row r="6">
      <c r="A6" s="6" t="s">
        <v>25</v>
      </c>
      <c r="B6" s="11">
        <f>1979.01*2</f>
        <v>3958.02</v>
      </c>
      <c r="C6" s="39">
        <f>B6/B7</f>
        <v>0.3481481742</v>
      </c>
      <c r="D6" s="6"/>
    </row>
    <row r="7">
      <c r="A7" s="6" t="s">
        <v>714</v>
      </c>
      <c r="B7" s="11">
        <f>SUM(B5:B6)</f>
        <v>11368.78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1115.507511</v>
      </c>
      <c r="D10" s="11">
        <f>B10*C6</f>
        <v>595.782489</v>
      </c>
      <c r="E10" s="48">
        <v>45778.0</v>
      </c>
    </row>
    <row r="11">
      <c r="A11" s="6" t="s">
        <v>716</v>
      </c>
      <c r="B11" s="40">
        <v>39.64</v>
      </c>
      <c r="C11" s="11">
        <f>B11*C5</f>
        <v>25.83940637</v>
      </c>
      <c r="D11" s="11">
        <f>B11*C6</f>
        <v>13.80059363</v>
      </c>
      <c r="E11" s="48">
        <v>45791.0</v>
      </c>
    </row>
    <row r="12">
      <c r="A12" s="9" t="s">
        <v>730</v>
      </c>
      <c r="B12" s="40">
        <v>211.95</v>
      </c>
      <c r="C12" s="11">
        <f>B12*C5</f>
        <v>138.1599945</v>
      </c>
      <c r="D12" s="11">
        <f>B12*C6</f>
        <v>73.79000552</v>
      </c>
      <c r="E12" s="48">
        <v>45805.0</v>
      </c>
    </row>
    <row r="13">
      <c r="A13" s="6" t="s">
        <v>63</v>
      </c>
      <c r="B13" s="40">
        <v>0.0</v>
      </c>
      <c r="C13" s="11">
        <f>B13*C5</f>
        <v>0</v>
      </c>
      <c r="D13" s="11">
        <f>B13*C6</f>
        <v>0</v>
      </c>
    </row>
    <row r="14">
      <c r="A14" s="9" t="s">
        <v>68</v>
      </c>
      <c r="B14" s="40">
        <v>161.78</v>
      </c>
      <c r="C14" s="11">
        <f>B14*C5</f>
        <v>105.4565884</v>
      </c>
      <c r="D14" s="11">
        <f>B14*C6</f>
        <v>56.32341162</v>
      </c>
      <c r="E14" s="48">
        <v>45805.0</v>
      </c>
    </row>
    <row r="15">
      <c r="A15" s="9" t="s">
        <v>717</v>
      </c>
      <c r="B15" s="40">
        <v>45.2</v>
      </c>
      <c r="C15" s="11">
        <f>B15*C5</f>
        <v>29.46370253</v>
      </c>
      <c r="D15" s="11">
        <f>B15*C6</f>
        <v>15.73629747</v>
      </c>
      <c r="E15" s="48">
        <v>45796.0</v>
      </c>
    </row>
    <row r="16">
      <c r="A16" s="6" t="s">
        <v>70</v>
      </c>
      <c r="B16" s="40">
        <v>242.75</v>
      </c>
      <c r="C16" s="11">
        <f>B16*C5</f>
        <v>158.2370307</v>
      </c>
      <c r="D16" s="11">
        <f>B16*C6</f>
        <v>84.51296929</v>
      </c>
      <c r="E16" s="48">
        <v>45797.0</v>
      </c>
    </row>
    <row r="17">
      <c r="A17" s="6" t="s">
        <v>718</v>
      </c>
      <c r="B17" s="40">
        <v>93.86</v>
      </c>
      <c r="C17" s="11">
        <f>B17*C5</f>
        <v>61.18281237</v>
      </c>
      <c r="D17" s="11">
        <f>B17*C6</f>
        <v>32.67718763</v>
      </c>
      <c r="E17" s="48">
        <v>45801.0</v>
      </c>
    </row>
    <row r="18">
      <c r="A18" s="6" t="s">
        <v>719</v>
      </c>
      <c r="B18" s="40">
        <v>68.28</v>
      </c>
      <c r="C18" s="11">
        <f>B18*C5</f>
        <v>44.50844266</v>
      </c>
      <c r="D18" s="11">
        <f>B18*C6</f>
        <v>23.77155734</v>
      </c>
      <c r="E18" s="48">
        <v>45793.0</v>
      </c>
    </row>
    <row r="19">
      <c r="A19" s="6" t="s">
        <v>720</v>
      </c>
      <c r="B19" s="40">
        <v>223.45</v>
      </c>
      <c r="C19" s="11">
        <f>B19*C5</f>
        <v>145.6562905</v>
      </c>
      <c r="D19" s="11">
        <f>B19*C6</f>
        <v>77.79370953</v>
      </c>
      <c r="E19" s="48">
        <v>45793.0</v>
      </c>
    </row>
    <row r="20">
      <c r="A20" s="9" t="s">
        <v>71</v>
      </c>
      <c r="B20" s="45">
        <f>158.58*2</f>
        <v>317.16</v>
      </c>
      <c r="C20" s="42">
        <f>B20*C5</f>
        <v>206.7413251</v>
      </c>
      <c r="D20" s="42">
        <f t="shared" ref="D20:D21" si="1">B20*C5</f>
        <v>206.7413251</v>
      </c>
    </row>
    <row r="21">
      <c r="A21" s="9" t="s">
        <v>731</v>
      </c>
      <c r="B21" s="45">
        <v>54.4</v>
      </c>
      <c r="C21" s="42">
        <f>B21*C5</f>
        <v>35.46073932</v>
      </c>
      <c r="D21" s="42">
        <f t="shared" si="1"/>
        <v>18.93926068</v>
      </c>
    </row>
    <row r="22">
      <c r="A22" s="50" t="s">
        <v>732</v>
      </c>
      <c r="B22" s="42">
        <f>158.58*2</f>
        <v>317.16</v>
      </c>
      <c r="C22" s="42"/>
      <c r="D22" s="42"/>
    </row>
    <row r="23">
      <c r="A23" s="50"/>
      <c r="B23" s="42"/>
      <c r="C23" s="42"/>
      <c r="D23" s="42"/>
    </row>
    <row r="24">
      <c r="A24" s="50" t="s">
        <v>733</v>
      </c>
      <c r="B24" s="42">
        <f>SUM(B10:B21)</f>
        <v>3169.76</v>
      </c>
      <c r="C24" s="42"/>
      <c r="D24" s="42"/>
    </row>
    <row r="25">
      <c r="A25" s="1"/>
      <c r="B25" s="42"/>
      <c r="C25" s="42"/>
      <c r="D25" s="42"/>
    </row>
    <row r="26">
      <c r="A26" s="1" t="s">
        <v>721</v>
      </c>
      <c r="B26" s="42"/>
      <c r="C26" s="42"/>
      <c r="D26" s="42"/>
    </row>
    <row r="27">
      <c r="A27" s="6"/>
      <c r="B27" s="11">
        <f>B7*0.25</f>
        <v>2842.195</v>
      </c>
      <c r="C27" s="11">
        <f>B27*C5</f>
        <v>1852.69</v>
      </c>
      <c r="D27" s="11">
        <f>B27*C6</f>
        <v>989.505</v>
      </c>
    </row>
    <row r="28">
      <c r="A28" s="6"/>
      <c r="B28" s="6"/>
      <c r="C28" s="6"/>
      <c r="D28" s="6"/>
    </row>
    <row r="29">
      <c r="A29" s="6" t="s">
        <v>722</v>
      </c>
      <c r="B29" s="11">
        <f t="shared" ref="B29:D29" si="2">SUM(B10:B27)</f>
        <v>9498.875</v>
      </c>
      <c r="C29" s="11">
        <f t="shared" si="2"/>
        <v>3918.903843</v>
      </c>
      <c r="D29" s="11">
        <f t="shared" si="2"/>
        <v>2189.373807</v>
      </c>
    </row>
    <row r="30">
      <c r="A30" s="6"/>
      <c r="B30" s="6"/>
      <c r="C30" s="6"/>
      <c r="D30" s="6"/>
    </row>
    <row r="31">
      <c r="A31" s="6" t="s">
        <v>723</v>
      </c>
      <c r="B31" s="6"/>
      <c r="C31" s="11">
        <f>B5-C29</f>
        <v>3491.856157</v>
      </c>
      <c r="D31" s="11">
        <f>B6-D29</f>
        <v>1768.646193</v>
      </c>
    </row>
    <row r="32">
      <c r="A32" s="43">
        <v>45792.0</v>
      </c>
      <c r="B32" s="6"/>
      <c r="C32" s="11">
        <f t="shared" ref="C32:D32" si="3">C31/2</f>
        <v>1745.928078</v>
      </c>
      <c r="D32" s="11">
        <f t="shared" si="3"/>
        <v>884.3230966</v>
      </c>
    </row>
    <row r="33">
      <c r="A33" s="43">
        <v>45807.0</v>
      </c>
      <c r="B33" s="6"/>
      <c r="C33" s="11">
        <f t="shared" ref="C33:D33" si="4">C31/2</f>
        <v>1745.928078</v>
      </c>
      <c r="D33" s="11">
        <f t="shared" si="4"/>
        <v>884.3230966</v>
      </c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44"/>
      <c r="B36" s="44"/>
      <c r="C36" s="44"/>
      <c r="D36" s="44"/>
    </row>
    <row r="37">
      <c r="A37" s="1" t="s">
        <v>724</v>
      </c>
      <c r="B37" s="6"/>
      <c r="C37" s="6" t="s">
        <v>45</v>
      </c>
      <c r="D37" s="6"/>
    </row>
    <row r="38">
      <c r="A38" s="6" t="s">
        <v>725</v>
      </c>
      <c r="B38" s="45"/>
      <c r="C38" s="6"/>
      <c r="D38" s="6"/>
    </row>
    <row r="39">
      <c r="A39" s="6" t="s">
        <v>726</v>
      </c>
      <c r="B39" s="45"/>
      <c r="C39" s="6"/>
      <c r="D39" s="6"/>
    </row>
    <row r="40">
      <c r="A40" s="6" t="s">
        <v>727</v>
      </c>
      <c r="B40" s="46"/>
      <c r="C40" s="6"/>
      <c r="D40" s="6"/>
    </row>
    <row r="41">
      <c r="B41" s="13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734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3705.38*2</f>
        <v>7410.76</v>
      </c>
      <c r="C5" s="39">
        <f>B5/B7</f>
        <v>0.6518518258</v>
      </c>
      <c r="D5" s="6"/>
    </row>
    <row r="6">
      <c r="A6" s="6" t="s">
        <v>25</v>
      </c>
      <c r="B6" s="11">
        <f>1979.01*2</f>
        <v>3958.02</v>
      </c>
      <c r="C6" s="39">
        <f>B6/B7</f>
        <v>0.3481481742</v>
      </c>
      <c r="D6" s="6"/>
    </row>
    <row r="7">
      <c r="A7" s="6" t="s">
        <v>714</v>
      </c>
      <c r="B7" s="11">
        <f>SUM(B5:B6)</f>
        <v>11368.78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1115.507511</v>
      </c>
      <c r="D10" s="11">
        <f>B10*C6</f>
        <v>595.782489</v>
      </c>
      <c r="E10" s="48">
        <v>45809.0</v>
      </c>
    </row>
    <row r="11">
      <c r="A11" s="6" t="s">
        <v>716</v>
      </c>
      <c r="B11" s="40">
        <v>115.65</v>
      </c>
      <c r="C11" s="11">
        <f>B11*C5</f>
        <v>75.38666365</v>
      </c>
      <c r="D11" s="11">
        <f>B11*C6</f>
        <v>40.26333635</v>
      </c>
      <c r="E11" s="48">
        <v>45822.0</v>
      </c>
    </row>
    <row r="12">
      <c r="A12" s="9" t="s">
        <v>86</v>
      </c>
      <c r="B12" s="40">
        <v>211.95</v>
      </c>
      <c r="C12" s="11">
        <f>B12*C5</f>
        <v>138.1599945</v>
      </c>
      <c r="D12" s="11">
        <f>B12*C6</f>
        <v>73.79000552</v>
      </c>
      <c r="E12" s="48">
        <v>45836.0</v>
      </c>
    </row>
    <row r="13">
      <c r="A13" s="6" t="s">
        <v>63</v>
      </c>
      <c r="B13" s="11">
        <v>56.5</v>
      </c>
      <c r="C13" s="11">
        <f>B13*C5</f>
        <v>36.82962816</v>
      </c>
      <c r="D13" s="11">
        <f>B13*C6</f>
        <v>19.67037184</v>
      </c>
    </row>
    <row r="14">
      <c r="A14" s="9" t="s">
        <v>68</v>
      </c>
      <c r="B14" s="40">
        <v>161.78</v>
      </c>
      <c r="C14" s="11">
        <f>B14*C5</f>
        <v>105.4565884</v>
      </c>
      <c r="D14" s="11">
        <f>B14*C6</f>
        <v>56.32341162</v>
      </c>
      <c r="E14" s="48">
        <v>45836.0</v>
      </c>
    </row>
    <row r="15">
      <c r="A15" s="9" t="s">
        <v>717</v>
      </c>
      <c r="B15" s="40">
        <v>45.2</v>
      </c>
      <c r="C15" s="11">
        <f>B15*C5</f>
        <v>29.46370253</v>
      </c>
      <c r="D15" s="11">
        <f>B15*C6</f>
        <v>15.73629747</v>
      </c>
      <c r="E15" s="48">
        <v>45827.0</v>
      </c>
    </row>
    <row r="16">
      <c r="A16" s="6" t="s">
        <v>70</v>
      </c>
      <c r="B16" s="40">
        <v>242.75</v>
      </c>
      <c r="C16" s="11">
        <f>B16*C5</f>
        <v>158.2370307</v>
      </c>
      <c r="D16" s="11">
        <f>B16*C6</f>
        <v>84.51296929</v>
      </c>
      <c r="E16" s="48">
        <v>45828.0</v>
      </c>
    </row>
    <row r="17">
      <c r="A17" s="6" t="s">
        <v>718</v>
      </c>
      <c r="B17" s="40">
        <v>93.86</v>
      </c>
      <c r="C17" s="11">
        <f>B17*C5</f>
        <v>61.18281237</v>
      </c>
      <c r="D17" s="11">
        <f>B17*C6</f>
        <v>32.67718763</v>
      </c>
      <c r="E17" s="48">
        <v>45832.0</v>
      </c>
    </row>
    <row r="18">
      <c r="A18" s="6" t="s">
        <v>719</v>
      </c>
      <c r="B18" s="40">
        <v>0.0</v>
      </c>
      <c r="C18" s="11">
        <f>B18*C5</f>
        <v>0</v>
      </c>
      <c r="D18" s="11">
        <f>B18*C6</f>
        <v>0</v>
      </c>
      <c r="E18" s="48">
        <v>45824.0</v>
      </c>
    </row>
    <row r="19">
      <c r="A19" s="6" t="s">
        <v>720</v>
      </c>
      <c r="B19" s="40">
        <v>207.16</v>
      </c>
      <c r="C19" s="11">
        <f>B19*C5</f>
        <v>135.0376242</v>
      </c>
      <c r="D19" s="11">
        <f>B19*C6</f>
        <v>72.12237577</v>
      </c>
      <c r="E19" s="48">
        <v>45824.0</v>
      </c>
    </row>
    <row r="20">
      <c r="A20" s="9" t="s">
        <v>71</v>
      </c>
      <c r="B20" s="45">
        <f>158.58*2</f>
        <v>317.16</v>
      </c>
      <c r="C20" s="42">
        <f>B20*C5</f>
        <v>206.7413251</v>
      </c>
      <c r="D20" s="42">
        <f t="shared" ref="D20:D21" si="1">B20*C5</f>
        <v>206.7413251</v>
      </c>
    </row>
    <row r="21">
      <c r="A21" s="9" t="s">
        <v>731</v>
      </c>
      <c r="B21" s="45">
        <v>54.4</v>
      </c>
      <c r="C21" s="42">
        <f>B21*C5</f>
        <v>35.46073932</v>
      </c>
      <c r="D21" s="42">
        <f t="shared" si="1"/>
        <v>18.93926068</v>
      </c>
    </row>
    <row r="22">
      <c r="A22" s="9" t="s">
        <v>60</v>
      </c>
      <c r="B22" s="45">
        <v>1029.0</v>
      </c>
      <c r="C22" s="42">
        <f>B22*C5</f>
        <v>670.7555287</v>
      </c>
      <c r="D22" s="42">
        <f>B22*C6</f>
        <v>358.2444713</v>
      </c>
    </row>
    <row r="23">
      <c r="A23" s="1"/>
      <c r="B23" s="42"/>
      <c r="C23" s="42"/>
      <c r="D23" s="42"/>
    </row>
    <row r="24">
      <c r="A24" s="1" t="s">
        <v>721</v>
      </c>
      <c r="B24" s="42"/>
      <c r="C24" s="42"/>
      <c r="D24" s="42"/>
    </row>
    <row r="25">
      <c r="A25" s="6"/>
      <c r="B25" s="11">
        <f>B7*0.25</f>
        <v>2842.195</v>
      </c>
      <c r="C25" s="11">
        <f>B25*C5</f>
        <v>1852.69</v>
      </c>
      <c r="D25" s="11">
        <f>B25*C6</f>
        <v>989.505</v>
      </c>
    </row>
    <row r="26">
      <c r="A26" s="6"/>
      <c r="B26" s="6"/>
      <c r="C26" s="6"/>
      <c r="D26" s="6"/>
    </row>
    <row r="27">
      <c r="A27" s="6" t="s">
        <v>722</v>
      </c>
      <c r="B27" s="11">
        <f t="shared" ref="B27:D27" si="2">SUM(B10:B25)</f>
        <v>7088.895</v>
      </c>
      <c r="C27" s="11">
        <f t="shared" si="2"/>
        <v>4620.909149</v>
      </c>
      <c r="D27" s="11">
        <f t="shared" si="2"/>
        <v>2564.308502</v>
      </c>
    </row>
    <row r="28">
      <c r="A28" s="6"/>
      <c r="B28" s="6"/>
      <c r="C28" s="6"/>
      <c r="D28" s="6"/>
    </row>
    <row r="29">
      <c r="A29" s="6" t="s">
        <v>723</v>
      </c>
      <c r="B29" s="6"/>
      <c r="C29" s="11">
        <f>B5-C27</f>
        <v>2789.850851</v>
      </c>
      <c r="D29" s="11">
        <f>B6-D27</f>
        <v>1393.711498</v>
      </c>
    </row>
    <row r="30">
      <c r="A30" s="43">
        <v>45823.0</v>
      </c>
      <c r="B30" s="6"/>
      <c r="C30" s="11">
        <f t="shared" ref="C30:D30" si="3">C29/2</f>
        <v>1394.925426</v>
      </c>
      <c r="D30" s="11">
        <f t="shared" si="3"/>
        <v>696.8557492</v>
      </c>
    </row>
    <row r="31">
      <c r="A31" s="43">
        <v>45838.0</v>
      </c>
      <c r="B31" s="6"/>
      <c r="C31" s="11">
        <f t="shared" ref="C31:D31" si="4">C29/2</f>
        <v>1394.925426</v>
      </c>
      <c r="D31" s="11">
        <f t="shared" si="4"/>
        <v>696.8557492</v>
      </c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44"/>
      <c r="B34" s="44"/>
      <c r="C34" s="44"/>
      <c r="D34" s="44"/>
    </row>
    <row r="35">
      <c r="A35" s="1" t="s">
        <v>724</v>
      </c>
      <c r="B35" s="6"/>
      <c r="C35" s="6" t="s">
        <v>45</v>
      </c>
      <c r="D35" s="6"/>
    </row>
    <row r="36">
      <c r="A36" s="6" t="s">
        <v>725</v>
      </c>
      <c r="B36" s="45"/>
      <c r="C36" s="6"/>
      <c r="D36" s="6"/>
    </row>
    <row r="37">
      <c r="A37" s="6" t="s">
        <v>726</v>
      </c>
      <c r="B37" s="45"/>
      <c r="C37" s="6"/>
      <c r="D37" s="6"/>
    </row>
    <row r="38">
      <c r="A38" s="6" t="s">
        <v>727</v>
      </c>
      <c r="B38" s="46"/>
      <c r="C38" s="6"/>
      <c r="D38" s="6"/>
    </row>
    <row r="39">
      <c r="B39" s="1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735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3406.31*2</f>
        <v>6812.62</v>
      </c>
      <c r="C5" s="39">
        <f>B5/B7</f>
        <v>0.6325176591</v>
      </c>
      <c r="D5" s="6"/>
    </row>
    <row r="6">
      <c r="A6" s="6" t="s">
        <v>25</v>
      </c>
      <c r="B6" s="11">
        <f>1979.01*2</f>
        <v>3958.02</v>
      </c>
      <c r="C6" s="39">
        <f>B6/B7</f>
        <v>0.3674823409</v>
      </c>
      <c r="D6" s="6"/>
    </row>
    <row r="7">
      <c r="A7" s="6" t="s">
        <v>714</v>
      </c>
      <c r="B7" s="11">
        <f>SUM(B5:B6)</f>
        <v>10770.64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1082.421145</v>
      </c>
      <c r="D10" s="11">
        <f>B10*C6</f>
        <v>628.8688551</v>
      </c>
      <c r="E10" s="48"/>
    </row>
    <row r="11">
      <c r="A11" s="9" t="s">
        <v>69</v>
      </c>
      <c r="B11" s="40">
        <v>146.21</v>
      </c>
      <c r="C11" s="11">
        <f>B11*C5</f>
        <v>92.48040694</v>
      </c>
      <c r="D11" s="11">
        <f>B11*C6</f>
        <v>53.72959306</v>
      </c>
      <c r="E11" s="48"/>
    </row>
    <row r="12">
      <c r="A12" s="6" t="s">
        <v>63</v>
      </c>
      <c r="B12" s="11">
        <v>56.5</v>
      </c>
      <c r="C12" s="11">
        <f>B12*C5</f>
        <v>35.73724774</v>
      </c>
      <c r="D12" s="11">
        <f>B12*C6</f>
        <v>20.76275226</v>
      </c>
    </row>
    <row r="13">
      <c r="A13" s="9" t="s">
        <v>68</v>
      </c>
      <c r="B13" s="40">
        <v>151.61</v>
      </c>
      <c r="C13" s="11">
        <f>B13*C5</f>
        <v>95.8960023</v>
      </c>
      <c r="D13" s="11">
        <f>B13*C6</f>
        <v>55.7139977</v>
      </c>
      <c r="E13" s="48"/>
    </row>
    <row r="14">
      <c r="A14" s="9" t="s">
        <v>717</v>
      </c>
      <c r="B14" s="40">
        <v>45.2</v>
      </c>
      <c r="C14" s="11">
        <f>B14*C5</f>
        <v>28.58979819</v>
      </c>
      <c r="D14" s="11">
        <f>B14*C6</f>
        <v>16.61020181</v>
      </c>
      <c r="E14" s="48"/>
    </row>
    <row r="15">
      <c r="A15" s="6" t="s">
        <v>70</v>
      </c>
      <c r="B15" s="40">
        <v>242.75</v>
      </c>
      <c r="C15" s="11">
        <f>B15*C5</f>
        <v>153.5436618</v>
      </c>
      <c r="D15" s="11">
        <f>B15*C6</f>
        <v>89.20633825</v>
      </c>
      <c r="E15" s="48"/>
    </row>
    <row r="16">
      <c r="A16" s="6" t="s">
        <v>718</v>
      </c>
      <c r="B16" s="40">
        <v>172.96</v>
      </c>
      <c r="C16" s="11">
        <f>B16*C5</f>
        <v>109.4002543</v>
      </c>
      <c r="D16" s="11">
        <f>B16*C6</f>
        <v>63.55974568</v>
      </c>
      <c r="E16" s="48"/>
    </row>
    <row r="17">
      <c r="A17" s="6" t="s">
        <v>719</v>
      </c>
      <c r="B17" s="40">
        <v>25.57</v>
      </c>
      <c r="C17" s="11">
        <f>B17*C5</f>
        <v>16.17347654</v>
      </c>
      <c r="D17" s="11">
        <f>B17*C6</f>
        <v>9.396523456</v>
      </c>
      <c r="E17" s="48"/>
    </row>
    <row r="18">
      <c r="A18" s="6" t="s">
        <v>720</v>
      </c>
      <c r="B18" s="40">
        <v>248.04</v>
      </c>
      <c r="C18" s="11">
        <f>B18*C5</f>
        <v>156.8896802</v>
      </c>
      <c r="D18" s="11">
        <f>B18*C6</f>
        <v>91.15031983</v>
      </c>
      <c r="E18" s="48"/>
    </row>
    <row r="19">
      <c r="A19" s="9" t="s">
        <v>71</v>
      </c>
      <c r="B19" s="45">
        <v>158.58</v>
      </c>
      <c r="C19" s="42">
        <f>B19*C5</f>
        <v>100.3046504</v>
      </c>
      <c r="D19" s="42">
        <f t="shared" ref="D19:D20" si="1">B19*C5</f>
        <v>100.3046504</v>
      </c>
    </row>
    <row r="20">
      <c r="A20" s="9" t="s">
        <v>731</v>
      </c>
      <c r="B20" s="45">
        <v>54.4</v>
      </c>
      <c r="C20" s="42">
        <f>B20*C5</f>
        <v>34.40896066</v>
      </c>
      <c r="D20" s="42">
        <f t="shared" si="1"/>
        <v>19.99103934</v>
      </c>
    </row>
    <row r="21">
      <c r="A21" s="1"/>
      <c r="B21" s="42"/>
      <c r="C21" s="42"/>
      <c r="D21" s="42"/>
    </row>
    <row r="22">
      <c r="A22" s="1" t="s">
        <v>721</v>
      </c>
      <c r="B22" s="42"/>
      <c r="C22" s="42"/>
      <c r="D22" s="42"/>
    </row>
    <row r="23">
      <c r="A23" s="6"/>
      <c r="B23" s="11">
        <f>B7*0.25</f>
        <v>2692.66</v>
      </c>
      <c r="C23" s="11">
        <f>B23*C5</f>
        <v>1703.155</v>
      </c>
      <c r="D23" s="11">
        <f>B23*C6</f>
        <v>989.505</v>
      </c>
    </row>
    <row r="24">
      <c r="A24" s="6"/>
      <c r="B24" s="6"/>
      <c r="C24" s="6"/>
      <c r="D24" s="6"/>
    </row>
    <row r="25">
      <c r="A25" s="6" t="s">
        <v>722</v>
      </c>
      <c r="B25" s="11">
        <f t="shared" ref="B25:D25" si="2">SUM(B10:B23)</f>
        <v>5705.77</v>
      </c>
      <c r="C25" s="11">
        <f t="shared" si="2"/>
        <v>3609.000284</v>
      </c>
      <c r="D25" s="11">
        <f t="shared" si="2"/>
        <v>2138.799017</v>
      </c>
    </row>
    <row r="26">
      <c r="A26" s="6"/>
      <c r="B26" s="6"/>
      <c r="C26" s="6"/>
      <c r="D26" s="6"/>
    </row>
    <row r="27">
      <c r="A27" s="6" t="s">
        <v>723</v>
      </c>
      <c r="B27" s="6"/>
      <c r="C27" s="11">
        <f>B5-C25</f>
        <v>3203.619716</v>
      </c>
      <c r="D27" s="11">
        <f>B6-D25</f>
        <v>1819.220983</v>
      </c>
    </row>
    <row r="28">
      <c r="A28" s="43">
        <v>45792.0</v>
      </c>
      <c r="B28" s="6"/>
      <c r="C28" s="11">
        <f t="shared" ref="C28:D28" si="3">C27/2</f>
        <v>1601.809858</v>
      </c>
      <c r="D28" s="11">
        <f t="shared" si="3"/>
        <v>909.6104915</v>
      </c>
    </row>
    <row r="29">
      <c r="A29" s="43">
        <v>45807.0</v>
      </c>
      <c r="B29" s="6"/>
      <c r="C29" s="11">
        <f t="shared" ref="C29:D29" si="4">C27/2</f>
        <v>1601.809858</v>
      </c>
      <c r="D29" s="11">
        <f t="shared" si="4"/>
        <v>909.6104915</v>
      </c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/>
      <c r="C34" s="6"/>
      <c r="D34" s="6"/>
    </row>
    <row r="35">
      <c r="A35" s="6" t="s">
        <v>726</v>
      </c>
      <c r="B35" s="45"/>
      <c r="C35" s="6"/>
      <c r="D35" s="6"/>
    </row>
    <row r="36">
      <c r="A36" s="6" t="s">
        <v>727</v>
      </c>
      <c r="B36" s="46"/>
      <c r="C36" s="6"/>
      <c r="D36" s="6"/>
    </row>
    <row r="37">
      <c r="B37" s="1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12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37">
        <f>3421.44+3392.14</f>
        <v>6813.58</v>
      </c>
      <c r="C5" s="39">
        <f>B5/B7</f>
        <v>0.6265960147</v>
      </c>
      <c r="D5" s="6"/>
    </row>
    <row r="6">
      <c r="A6" s="6" t="s">
        <v>25</v>
      </c>
      <c r="B6" s="11">
        <f>2030.19+2030.19</f>
        <v>4060.38</v>
      </c>
      <c r="C6" s="39">
        <f>B6/B7</f>
        <v>0.3734039853</v>
      </c>
      <c r="D6" s="6"/>
    </row>
    <row r="7">
      <c r="A7" s="6" t="s">
        <v>714</v>
      </c>
      <c r="B7" s="11">
        <f>SUM(B5:B6)</f>
        <v>10873.96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11">
        <v>1711.29</v>
      </c>
      <c r="C10" s="11">
        <f>B10*C5</f>
        <v>1072.287494</v>
      </c>
      <c r="D10" s="11">
        <f>B10*C6</f>
        <v>639.002506</v>
      </c>
      <c r="E10" s="2" t="s">
        <v>729</v>
      </c>
    </row>
    <row r="11">
      <c r="A11" s="9" t="s">
        <v>69</v>
      </c>
      <c r="B11" s="40">
        <v>146.21</v>
      </c>
      <c r="C11" s="11">
        <f>B11*C5</f>
        <v>91.61460331</v>
      </c>
      <c r="D11" s="11">
        <f>B11*C6</f>
        <v>54.59539669</v>
      </c>
      <c r="E11" s="48"/>
    </row>
    <row r="12">
      <c r="A12" s="6" t="s">
        <v>63</v>
      </c>
      <c r="B12" s="11">
        <v>56.5</v>
      </c>
      <c r="C12" s="11">
        <f>B12*C5</f>
        <v>35.40267483</v>
      </c>
      <c r="D12" s="11">
        <f>B12*C6</f>
        <v>21.09732517</v>
      </c>
    </row>
    <row r="13">
      <c r="A13" s="9" t="s">
        <v>68</v>
      </c>
      <c r="B13" s="40">
        <v>151.61</v>
      </c>
      <c r="C13" s="11">
        <f>B13*C5</f>
        <v>94.99822179</v>
      </c>
      <c r="D13" s="11">
        <f>B13*C6</f>
        <v>56.61177821</v>
      </c>
      <c r="E13" s="48"/>
    </row>
    <row r="14">
      <c r="A14" s="9" t="s">
        <v>717</v>
      </c>
      <c r="B14" s="40">
        <v>45.2</v>
      </c>
      <c r="C14" s="11">
        <f>B14*C5</f>
        <v>28.32213986</v>
      </c>
      <c r="D14" s="11">
        <f>B14*C6</f>
        <v>16.87786014</v>
      </c>
      <c r="E14" s="48"/>
    </row>
    <row r="15">
      <c r="A15" s="6" t="s">
        <v>70</v>
      </c>
      <c r="B15" s="40">
        <v>242.75</v>
      </c>
      <c r="C15" s="11">
        <f>B15*C5</f>
        <v>152.1061826</v>
      </c>
      <c r="D15" s="11">
        <f>B15*C6</f>
        <v>90.64381743</v>
      </c>
      <c r="E15" s="48"/>
    </row>
    <row r="16">
      <c r="A16" s="6" t="s">
        <v>718</v>
      </c>
      <c r="B16" s="40">
        <f>0</f>
        <v>0</v>
      </c>
      <c r="C16" s="11">
        <f>B16*C5</f>
        <v>0</v>
      </c>
      <c r="D16" s="11">
        <f>B16*C6</f>
        <v>0</v>
      </c>
      <c r="E16" s="48"/>
    </row>
    <row r="17">
      <c r="A17" s="6" t="s">
        <v>719</v>
      </c>
      <c r="B17" s="40">
        <v>44.34</v>
      </c>
      <c r="C17" s="11">
        <f>B17*C5</f>
        <v>27.78326729</v>
      </c>
      <c r="D17" s="11">
        <f>B17*C6</f>
        <v>16.55673271</v>
      </c>
      <c r="E17" s="2" t="s">
        <v>729</v>
      </c>
    </row>
    <row r="18">
      <c r="A18" s="6" t="s">
        <v>720</v>
      </c>
      <c r="B18" s="40">
        <v>378.68</v>
      </c>
      <c r="C18" s="11">
        <f>B18*C5</f>
        <v>237.2793788</v>
      </c>
      <c r="D18" s="11">
        <f>B18*C6</f>
        <v>141.4006212</v>
      </c>
      <c r="E18" s="2" t="s">
        <v>729</v>
      </c>
    </row>
    <row r="19">
      <c r="A19" s="9" t="s">
        <v>731</v>
      </c>
      <c r="B19" s="45">
        <v>54.4</v>
      </c>
      <c r="C19" s="42">
        <f>B19*C5</f>
        <v>34.0868232</v>
      </c>
      <c r="D19" s="42">
        <f>B19*C6</f>
        <v>20.3131768</v>
      </c>
    </row>
    <row r="20">
      <c r="A20" s="50"/>
      <c r="B20" s="42"/>
      <c r="C20" s="42"/>
      <c r="D20" s="42"/>
    </row>
    <row r="21">
      <c r="A21" s="50" t="s">
        <v>42</v>
      </c>
      <c r="B21" s="42"/>
      <c r="C21" s="42"/>
      <c r="D21" s="42"/>
    </row>
    <row r="22">
      <c r="A22" s="6"/>
      <c r="B22" s="11">
        <f>B7*0.25</f>
        <v>2718.49</v>
      </c>
      <c r="C22" s="11">
        <f>B22*C5</f>
        <v>1703.395</v>
      </c>
      <c r="D22" s="11">
        <f>B22*C6</f>
        <v>1015.095</v>
      </c>
    </row>
    <row r="23">
      <c r="A23" s="6"/>
      <c r="B23" s="6"/>
      <c r="C23" s="6"/>
      <c r="D23" s="6"/>
    </row>
    <row r="24">
      <c r="A24" s="6" t="s">
        <v>722</v>
      </c>
      <c r="B24" s="11">
        <f t="shared" ref="B24:D24" si="1">SUM(B10:B22)</f>
        <v>5549.47</v>
      </c>
      <c r="C24" s="11">
        <f t="shared" si="1"/>
        <v>3477.275786</v>
      </c>
      <c r="D24" s="11">
        <f t="shared" si="1"/>
        <v>2072.194214</v>
      </c>
    </row>
    <row r="25">
      <c r="A25" s="6"/>
      <c r="B25" s="6"/>
      <c r="C25" s="6"/>
      <c r="D25" s="6"/>
    </row>
    <row r="26">
      <c r="A26" s="6"/>
      <c r="B26" s="6"/>
      <c r="C26" s="11"/>
      <c r="D26" s="11"/>
    </row>
    <row r="27">
      <c r="A27" s="43"/>
      <c r="B27" s="6"/>
      <c r="C27" s="11"/>
      <c r="D27" s="11"/>
    </row>
    <row r="28">
      <c r="A28" s="43"/>
      <c r="B28" s="6"/>
      <c r="C28" s="11"/>
      <c r="D28" s="11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44"/>
      <c r="B31" s="44"/>
      <c r="C31" s="44"/>
      <c r="D31" s="44"/>
    </row>
    <row r="32">
      <c r="A32" s="1" t="s">
        <v>724</v>
      </c>
      <c r="B32" s="6"/>
      <c r="C32" s="6" t="s">
        <v>45</v>
      </c>
      <c r="D32" s="6"/>
    </row>
    <row r="33">
      <c r="A33" s="6" t="s">
        <v>725</v>
      </c>
      <c r="B33" s="45">
        <v>2006.7</v>
      </c>
      <c r="C33" s="6"/>
      <c r="D33" s="6"/>
    </row>
    <row r="34">
      <c r="A34" s="6" t="s">
        <v>726</v>
      </c>
      <c r="B34" s="45">
        <v>1815.81</v>
      </c>
      <c r="C34" s="6"/>
      <c r="D34" s="6"/>
    </row>
    <row r="35">
      <c r="A35" s="6" t="s">
        <v>727</v>
      </c>
      <c r="B35" s="46"/>
      <c r="C35" s="6"/>
      <c r="D35" s="6"/>
    </row>
    <row r="36">
      <c r="B36" s="13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736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7429.45</f>
        <v>7429.45</v>
      </c>
      <c r="C5" s="39">
        <f>B5/B7</f>
        <v>0.6341301659</v>
      </c>
      <c r="D5" s="6"/>
    </row>
    <row r="6">
      <c r="A6" s="6" t="s">
        <v>25</v>
      </c>
      <c r="B6" s="11">
        <f>4286.52</f>
        <v>4286.52</v>
      </c>
      <c r="C6" s="39">
        <f>B6/B7</f>
        <v>0.3658698341</v>
      </c>
      <c r="D6" s="6"/>
    </row>
    <row r="7">
      <c r="A7" s="6" t="s">
        <v>714</v>
      </c>
      <c r="B7" s="11">
        <f>SUM(B5:B6)</f>
        <v>11715.97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37">
        <v>1967.98</v>
      </c>
      <c r="C10" s="11">
        <f>B10*C5</f>
        <v>1247.955484</v>
      </c>
      <c r="D10" s="11">
        <f>B10*C6</f>
        <v>720.0245161</v>
      </c>
      <c r="E10" s="48"/>
    </row>
    <row r="11">
      <c r="A11" s="9" t="s">
        <v>69</v>
      </c>
      <c r="B11" s="40">
        <v>146.21</v>
      </c>
      <c r="C11" s="11">
        <f>B11*C5</f>
        <v>92.71617156</v>
      </c>
      <c r="D11" s="11">
        <f>B11*C6</f>
        <v>53.49382844</v>
      </c>
      <c r="E11" s="48"/>
    </row>
    <row r="12">
      <c r="A12" s="6" t="s">
        <v>63</v>
      </c>
      <c r="B12" s="11">
        <v>56.5</v>
      </c>
      <c r="C12" s="11">
        <f>B12*C5</f>
        <v>35.82835437</v>
      </c>
      <c r="D12" s="11">
        <f>B12*C6</f>
        <v>20.67164563</v>
      </c>
    </row>
    <row r="13">
      <c r="A13" s="9" t="s">
        <v>68</v>
      </c>
      <c r="B13" s="40">
        <v>151.61</v>
      </c>
      <c r="C13" s="11">
        <f>B13*C5</f>
        <v>96.14047445</v>
      </c>
      <c r="D13" s="11">
        <f>B13*C6</f>
        <v>55.46952555</v>
      </c>
      <c r="E13" s="48"/>
    </row>
    <row r="14">
      <c r="A14" s="9" t="s">
        <v>717</v>
      </c>
      <c r="B14" s="40">
        <v>45.2</v>
      </c>
      <c r="C14" s="11">
        <f>B14*C5</f>
        <v>28.6626835</v>
      </c>
      <c r="D14" s="11">
        <f>B14*C6</f>
        <v>16.5373165</v>
      </c>
      <c r="E14" s="48"/>
    </row>
    <row r="15">
      <c r="A15" s="6" t="s">
        <v>70</v>
      </c>
      <c r="B15" s="40">
        <v>242.75</v>
      </c>
      <c r="C15" s="11">
        <f>B15*C5</f>
        <v>153.9350978</v>
      </c>
      <c r="D15" s="11">
        <f>B15*C6</f>
        <v>88.81490222</v>
      </c>
      <c r="E15" s="48"/>
    </row>
    <row r="16">
      <c r="A16" s="6" t="s">
        <v>718</v>
      </c>
      <c r="B16" s="40"/>
      <c r="C16" s="11">
        <f>B16*C5</f>
        <v>0</v>
      </c>
      <c r="D16" s="11">
        <f>B16*C6</f>
        <v>0</v>
      </c>
      <c r="E16" s="48"/>
    </row>
    <row r="17">
      <c r="A17" s="6" t="s">
        <v>719</v>
      </c>
      <c r="B17" s="20">
        <v>40.76</v>
      </c>
      <c r="C17" s="11">
        <f>B17*C5</f>
        <v>25.84714556</v>
      </c>
      <c r="D17" s="11">
        <f>B17*C6</f>
        <v>14.91285444</v>
      </c>
      <c r="E17" s="48"/>
    </row>
    <row r="18">
      <c r="A18" s="6" t="s">
        <v>720</v>
      </c>
      <c r="B18" s="40">
        <v>346.22</v>
      </c>
      <c r="C18" s="11">
        <f>B18*C5</f>
        <v>219.548546</v>
      </c>
      <c r="D18" s="11">
        <f>B18*C6</f>
        <v>126.671454</v>
      </c>
      <c r="E18" s="48"/>
    </row>
    <row r="19">
      <c r="A19" s="9" t="s">
        <v>731</v>
      </c>
      <c r="B19" s="45">
        <v>54.4</v>
      </c>
      <c r="C19" s="42">
        <f>B19*C5</f>
        <v>34.49668103</v>
      </c>
      <c r="D19" s="42">
        <f>B19*C6</f>
        <v>19.90331897</v>
      </c>
    </row>
    <row r="20">
      <c r="A20" s="1"/>
      <c r="B20" s="42"/>
      <c r="C20" s="42"/>
      <c r="D20" s="42"/>
    </row>
    <row r="21">
      <c r="A21" s="1" t="s">
        <v>721</v>
      </c>
      <c r="B21" s="42"/>
      <c r="C21" s="42"/>
      <c r="D21" s="42"/>
    </row>
    <row r="22">
      <c r="A22" s="6"/>
      <c r="B22" s="11">
        <f>B7*0.25</f>
        <v>2928.9925</v>
      </c>
      <c r="C22" s="11">
        <f>B22*C5</f>
        <v>1857.3625</v>
      </c>
      <c r="D22" s="11">
        <f>B22*C6</f>
        <v>1071.63</v>
      </c>
    </row>
    <row r="23">
      <c r="A23" s="6"/>
      <c r="B23" s="6"/>
      <c r="C23" s="6"/>
      <c r="D23" s="6"/>
    </row>
    <row r="24">
      <c r="A24" s="6" t="s">
        <v>722</v>
      </c>
      <c r="B24" s="11">
        <f t="shared" ref="B24:D24" si="1">SUM(B10:B22)</f>
        <v>5980.6225</v>
      </c>
      <c r="C24" s="11">
        <f t="shared" si="1"/>
        <v>3792.493138</v>
      </c>
      <c r="D24" s="11">
        <f t="shared" si="1"/>
        <v>2188.129362</v>
      </c>
    </row>
    <row r="25">
      <c r="A25" s="6"/>
      <c r="B25" s="6"/>
      <c r="C25" s="6"/>
      <c r="D25" s="6"/>
    </row>
    <row r="26">
      <c r="A26" s="6" t="s">
        <v>723</v>
      </c>
      <c r="B26" s="6"/>
      <c r="C26" s="11">
        <f>B5-C24</f>
        <v>3636.956862</v>
      </c>
      <c r="D26" s="11">
        <f>B6-D24</f>
        <v>2098.390638</v>
      </c>
    </row>
    <row r="27">
      <c r="A27" s="43">
        <v>45792.0</v>
      </c>
      <c r="B27" s="6"/>
      <c r="C27" s="11">
        <f t="shared" ref="C27:D27" si="2">C26/2</f>
        <v>1818.478431</v>
      </c>
      <c r="D27" s="11">
        <f t="shared" si="2"/>
        <v>1049.195319</v>
      </c>
    </row>
    <row r="28">
      <c r="A28" s="43">
        <v>45807.0</v>
      </c>
      <c r="B28" s="6"/>
      <c r="C28" s="11">
        <f t="shared" ref="C28:D28" si="3">C26/2</f>
        <v>1818.478431</v>
      </c>
      <c r="D28" s="11">
        <f t="shared" si="3"/>
        <v>1049.195319</v>
      </c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44"/>
      <c r="B31" s="44"/>
      <c r="C31" s="44"/>
      <c r="D31" s="44"/>
    </row>
    <row r="32">
      <c r="A32" s="1" t="s">
        <v>724</v>
      </c>
      <c r="B32" s="6"/>
      <c r="C32" s="6" t="s">
        <v>45</v>
      </c>
      <c r="D32" s="6"/>
    </row>
    <row r="33">
      <c r="A33" s="6" t="s">
        <v>725</v>
      </c>
      <c r="B33" s="45"/>
      <c r="C33" s="6"/>
      <c r="D33" s="6"/>
    </row>
    <row r="34">
      <c r="A34" s="6" t="s">
        <v>726</v>
      </c>
      <c r="B34" s="45"/>
      <c r="C34" s="6"/>
      <c r="D34" s="6"/>
    </row>
    <row r="35">
      <c r="A35" s="6" t="s">
        <v>727</v>
      </c>
      <c r="B35" s="46"/>
      <c r="C35" s="6"/>
      <c r="D35" s="6"/>
    </row>
    <row r="36">
      <c r="B36" s="13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14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37">
        <v>12414.97</v>
      </c>
      <c r="C5" s="39">
        <f>B5/B7</f>
        <v>0.748088949</v>
      </c>
      <c r="D5" s="6"/>
    </row>
    <row r="6">
      <c r="A6" s="6" t="s">
        <v>25</v>
      </c>
      <c r="B6" s="11">
        <f>4180.61</f>
        <v>4180.61</v>
      </c>
      <c r="C6" s="39">
        <f>B6/B7</f>
        <v>0.251911051</v>
      </c>
      <c r="D6" s="6"/>
    </row>
    <row r="7">
      <c r="A7" s="6" t="s">
        <v>714</v>
      </c>
      <c r="B7" s="11">
        <f>SUM(B5:B6)</f>
        <v>16595.58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37">
        <v>1967.98</v>
      </c>
      <c r="C10" s="11">
        <f>B10*C5</f>
        <v>1472.22409</v>
      </c>
      <c r="D10" s="11">
        <f>B10*C6</f>
        <v>495.7559102</v>
      </c>
      <c r="E10" s="48"/>
    </row>
    <row r="11">
      <c r="A11" s="9" t="s">
        <v>69</v>
      </c>
      <c r="B11" s="40">
        <v>146.21</v>
      </c>
      <c r="C11" s="11">
        <f>B11*C5</f>
        <v>109.3780852</v>
      </c>
      <c r="D11" s="11">
        <f>B11*C6</f>
        <v>36.83191477</v>
      </c>
      <c r="E11" s="48"/>
    </row>
    <row r="12">
      <c r="A12" s="6" t="s">
        <v>63</v>
      </c>
      <c r="B12" s="11">
        <v>56.5</v>
      </c>
      <c r="C12" s="11">
        <f>B12*C5</f>
        <v>42.26702562</v>
      </c>
      <c r="D12" s="11">
        <f>B12*C6</f>
        <v>14.23297438</v>
      </c>
    </row>
    <row r="13">
      <c r="A13" s="9" t="s">
        <v>68</v>
      </c>
      <c r="B13" s="40">
        <v>151.61</v>
      </c>
      <c r="C13" s="11">
        <f>B13*C5</f>
        <v>113.4177656</v>
      </c>
      <c r="D13" s="11">
        <f>B13*C6</f>
        <v>38.19223444</v>
      </c>
      <c r="E13" s="48"/>
    </row>
    <row r="14">
      <c r="A14" s="9" t="s">
        <v>717</v>
      </c>
      <c r="B14" s="40">
        <v>45.2</v>
      </c>
      <c r="C14" s="11">
        <f>B14*C5</f>
        <v>33.81362049</v>
      </c>
      <c r="D14" s="11">
        <f>B14*C6</f>
        <v>11.38637951</v>
      </c>
      <c r="E14" s="48"/>
    </row>
    <row r="15">
      <c r="A15" s="6" t="s">
        <v>70</v>
      </c>
      <c r="B15" s="40">
        <v>257.21</v>
      </c>
      <c r="C15" s="11">
        <f>B15*C5</f>
        <v>192.4159586</v>
      </c>
      <c r="D15" s="11">
        <f>B15*C6</f>
        <v>64.79404143</v>
      </c>
      <c r="E15" s="48"/>
    </row>
    <row r="16">
      <c r="A16" s="6" t="s">
        <v>718</v>
      </c>
      <c r="B16" s="40"/>
      <c r="C16" s="11">
        <f>B16*C5</f>
        <v>0</v>
      </c>
      <c r="D16" s="11">
        <f>B16*C6</f>
        <v>0</v>
      </c>
      <c r="E16" s="48"/>
    </row>
    <row r="17">
      <c r="A17" s="6" t="s">
        <v>719</v>
      </c>
      <c r="B17" s="40">
        <v>38.45</v>
      </c>
      <c r="C17" s="11">
        <f>B17*C5</f>
        <v>28.76402009</v>
      </c>
      <c r="D17" s="11">
        <f>B17*C6</f>
        <v>9.685979912</v>
      </c>
      <c r="E17" s="48"/>
    </row>
    <row r="18">
      <c r="A18" s="6" t="s">
        <v>720</v>
      </c>
      <c r="B18" s="40">
        <v>291.71</v>
      </c>
      <c r="C18" s="11">
        <f>B18*C5</f>
        <v>218.2250273</v>
      </c>
      <c r="D18" s="11">
        <f>B18*C6</f>
        <v>73.48497269</v>
      </c>
      <c r="E18" s="48"/>
    </row>
    <row r="19">
      <c r="A19" s="9" t="s">
        <v>731</v>
      </c>
      <c r="B19" s="45">
        <v>54.4</v>
      </c>
      <c r="C19" s="42">
        <f>B19*C5</f>
        <v>40.69603882</v>
      </c>
      <c r="D19" s="42">
        <f>B19*C6</f>
        <v>13.70396118</v>
      </c>
    </row>
    <row r="20">
      <c r="A20" s="9" t="s">
        <v>737</v>
      </c>
      <c r="B20" s="45">
        <v>35.0</v>
      </c>
      <c r="C20" s="42">
        <f>B20*C5</f>
        <v>26.18311321</v>
      </c>
      <c r="D20" s="42">
        <f>B20*C6</f>
        <v>8.816886786</v>
      </c>
    </row>
    <row r="21">
      <c r="A21" s="1"/>
      <c r="B21" s="42"/>
      <c r="C21" s="42"/>
      <c r="D21" s="42"/>
    </row>
    <row r="22">
      <c r="A22" s="50" t="s">
        <v>738</v>
      </c>
      <c r="B22" s="42"/>
      <c r="C22" s="42"/>
      <c r="D22" s="42"/>
    </row>
    <row r="23">
      <c r="A23" s="9" t="s">
        <v>731</v>
      </c>
      <c r="B23" s="37">
        <v>525.0</v>
      </c>
      <c r="C23" s="37"/>
      <c r="D23" s="11"/>
    </row>
    <row r="24">
      <c r="A24" s="9" t="s">
        <v>739</v>
      </c>
      <c r="B24" s="45">
        <v>200.0</v>
      </c>
      <c r="C24" s="6"/>
      <c r="D24" s="6"/>
    </row>
    <row r="25">
      <c r="A25" s="6"/>
      <c r="B25" s="11"/>
      <c r="C25" s="11"/>
      <c r="D25" s="11"/>
    </row>
    <row r="26">
      <c r="A26" s="6"/>
      <c r="B26" s="6"/>
      <c r="C26" s="6"/>
      <c r="D26" s="6"/>
    </row>
    <row r="27">
      <c r="A27" s="6"/>
      <c r="B27" s="6"/>
      <c r="C27" s="11"/>
      <c r="D27" s="11"/>
    </row>
    <row r="28">
      <c r="A28" s="43"/>
      <c r="B28" s="6"/>
      <c r="C28" s="11"/>
      <c r="D28" s="11"/>
    </row>
    <row r="29">
      <c r="A29" s="43"/>
      <c r="B29" s="6"/>
      <c r="C29" s="11"/>
      <c r="D29" s="11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44"/>
      <c r="B32" s="44"/>
      <c r="C32" s="44"/>
      <c r="D32" s="44"/>
    </row>
    <row r="33">
      <c r="A33" s="1" t="s">
        <v>724</v>
      </c>
      <c r="B33" s="6"/>
      <c r="C33" s="6" t="s">
        <v>45</v>
      </c>
      <c r="D33" s="6"/>
    </row>
    <row r="34">
      <c r="A34" s="6" t="s">
        <v>725</v>
      </c>
      <c r="B34" s="45"/>
      <c r="C34" s="6"/>
      <c r="D34" s="6"/>
    </row>
    <row r="35">
      <c r="A35" s="6" t="s">
        <v>726</v>
      </c>
      <c r="B35" s="45">
        <v>3226.92</v>
      </c>
      <c r="C35" s="6"/>
      <c r="D35" s="6"/>
    </row>
    <row r="36">
      <c r="A36" s="6" t="s">
        <v>727</v>
      </c>
      <c r="B36" s="46"/>
      <c r="C36" s="6"/>
      <c r="D36" s="6"/>
    </row>
    <row r="37">
      <c r="B37" s="13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15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6054.57</f>
        <v>6054.57</v>
      </c>
      <c r="C5" s="39">
        <f>B5/B7</f>
        <v>0.5985775482</v>
      </c>
      <c r="D5" s="6"/>
    </row>
    <row r="6">
      <c r="A6" s="6" t="s">
        <v>25</v>
      </c>
      <c r="B6" s="11">
        <f>4060.36</f>
        <v>4060.36</v>
      </c>
      <c r="C6" s="39">
        <f>B6/B7</f>
        <v>0.4014224518</v>
      </c>
      <c r="D6" s="6"/>
    </row>
    <row r="7">
      <c r="A7" s="6" t="s">
        <v>714</v>
      </c>
      <c r="B7" s="11">
        <f>SUM(B5:B6)</f>
        <v>10114.93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37">
        <v>1967.98</v>
      </c>
      <c r="C10" s="11">
        <f>B10*C5</f>
        <v>1177.988643</v>
      </c>
      <c r="D10" s="11">
        <f>B10*C6</f>
        <v>789.9913566</v>
      </c>
      <c r="E10" s="48"/>
    </row>
    <row r="11">
      <c r="A11" s="9" t="s">
        <v>69</v>
      </c>
      <c r="B11" s="40">
        <v>146.21</v>
      </c>
      <c r="C11" s="11">
        <f>B11*C5</f>
        <v>87.51802333</v>
      </c>
      <c r="D11" s="11">
        <f>B11*C6</f>
        <v>58.69197667</v>
      </c>
      <c r="E11" s="48"/>
    </row>
    <row r="12">
      <c r="A12" s="6" t="s">
        <v>63</v>
      </c>
      <c r="B12" s="11">
        <v>56.5</v>
      </c>
      <c r="C12" s="11">
        <f>B12*C5</f>
        <v>33.81963148</v>
      </c>
      <c r="D12" s="11">
        <f>B12*C6</f>
        <v>22.68036852</v>
      </c>
    </row>
    <row r="13">
      <c r="A13" s="9" t="s">
        <v>68</v>
      </c>
      <c r="B13" s="40">
        <v>151.61</v>
      </c>
      <c r="C13" s="11">
        <f>B13*C5</f>
        <v>90.75034209</v>
      </c>
      <c r="D13" s="11">
        <f>B13*C6</f>
        <v>60.85965791</v>
      </c>
      <c r="E13" s="48"/>
    </row>
    <row r="14">
      <c r="A14" s="9" t="s">
        <v>717</v>
      </c>
      <c r="B14" s="40">
        <v>45.2</v>
      </c>
      <c r="C14" s="11">
        <f>B14*C5</f>
        <v>27.05570518</v>
      </c>
      <c r="D14" s="11">
        <f>B14*C6</f>
        <v>18.14429482</v>
      </c>
      <c r="E14" s="48"/>
    </row>
    <row r="15">
      <c r="A15" s="6" t="s">
        <v>70</v>
      </c>
      <c r="B15" s="40">
        <v>257.21</v>
      </c>
      <c r="C15" s="11">
        <f>B15*C5</f>
        <v>153.9601312</v>
      </c>
      <c r="D15" s="11">
        <f>B15*C6</f>
        <v>103.2498688</v>
      </c>
      <c r="E15" s="48"/>
    </row>
    <row r="16">
      <c r="A16" s="6" t="s">
        <v>718</v>
      </c>
      <c r="B16" s="40"/>
      <c r="C16" s="11">
        <f>B16*C5</f>
        <v>0</v>
      </c>
      <c r="D16" s="11">
        <f>B16*C6</f>
        <v>0</v>
      </c>
      <c r="E16" s="48"/>
    </row>
    <row r="17">
      <c r="A17" s="6" t="s">
        <v>719</v>
      </c>
      <c r="B17" s="40">
        <v>62.26</v>
      </c>
      <c r="C17" s="11">
        <f>B17*C5</f>
        <v>37.26743815</v>
      </c>
      <c r="D17" s="11">
        <f>B17*C6</f>
        <v>24.99256185</v>
      </c>
      <c r="E17" s="48"/>
    </row>
    <row r="18">
      <c r="A18" s="6" t="s">
        <v>720</v>
      </c>
      <c r="B18" s="40">
        <v>243.09</v>
      </c>
      <c r="C18" s="11">
        <f>B18*C5</f>
        <v>145.5082162</v>
      </c>
      <c r="D18" s="11">
        <f>B18*C6</f>
        <v>97.5817838</v>
      </c>
      <c r="E18" s="48"/>
    </row>
    <row r="19">
      <c r="A19" s="9" t="s">
        <v>731</v>
      </c>
      <c r="B19" s="45">
        <v>54.4</v>
      </c>
      <c r="C19" s="42">
        <f>B19*C5</f>
        <v>32.56261862</v>
      </c>
      <c r="D19" s="42">
        <f>B19*C6</f>
        <v>21.83738138</v>
      </c>
    </row>
    <row r="20">
      <c r="A20" s="1"/>
      <c r="B20" s="42"/>
      <c r="C20" s="42"/>
      <c r="D20" s="42"/>
    </row>
    <row r="21">
      <c r="A21" s="1" t="s">
        <v>721</v>
      </c>
      <c r="B21" s="42"/>
      <c r="C21" s="42"/>
      <c r="D21" s="42"/>
    </row>
    <row r="22">
      <c r="A22" s="6"/>
      <c r="B22" s="11">
        <f>B7*0.25</f>
        <v>2528.7325</v>
      </c>
      <c r="C22" s="11">
        <f>B22*C5</f>
        <v>1513.6425</v>
      </c>
      <c r="D22" s="11">
        <f>B22*C6</f>
        <v>1015.09</v>
      </c>
    </row>
    <row r="23">
      <c r="A23" s="6"/>
      <c r="B23" s="6"/>
      <c r="C23" s="6"/>
      <c r="D23" s="6"/>
    </row>
    <row r="24">
      <c r="A24" s="6" t="s">
        <v>722</v>
      </c>
      <c r="B24" s="11">
        <f t="shared" ref="B24:D24" si="1">SUM(B10:B22)</f>
        <v>5513.1925</v>
      </c>
      <c r="C24" s="11">
        <f t="shared" si="1"/>
        <v>3300.07325</v>
      </c>
      <c r="D24" s="11">
        <f t="shared" si="1"/>
        <v>2213.11925</v>
      </c>
    </row>
    <row r="25">
      <c r="A25" s="6"/>
      <c r="B25" s="6"/>
      <c r="C25" s="6"/>
      <c r="D25" s="6"/>
    </row>
    <row r="26">
      <c r="A26" s="6" t="s">
        <v>723</v>
      </c>
      <c r="B26" s="6"/>
      <c r="C26" s="11">
        <f>B5-C24</f>
        <v>2754.49675</v>
      </c>
      <c r="D26" s="11">
        <f>B6-D24</f>
        <v>1847.24075</v>
      </c>
    </row>
    <row r="27">
      <c r="A27" s="43">
        <v>45792.0</v>
      </c>
      <c r="B27" s="6"/>
      <c r="C27" s="11">
        <f t="shared" ref="C27:D27" si="2">C26/2</f>
        <v>1377.248375</v>
      </c>
      <c r="D27" s="11">
        <f t="shared" si="2"/>
        <v>923.6203748</v>
      </c>
    </row>
    <row r="28">
      <c r="A28" s="43">
        <v>45807.0</v>
      </c>
      <c r="B28" s="6"/>
      <c r="C28" s="11">
        <f t="shared" ref="C28:D28" si="3">C26/2</f>
        <v>1377.248375</v>
      </c>
      <c r="D28" s="11">
        <f t="shared" si="3"/>
        <v>923.6203748</v>
      </c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44"/>
      <c r="B31" s="44"/>
      <c r="C31" s="44"/>
      <c r="D31" s="44"/>
    </row>
    <row r="32">
      <c r="A32" s="1" t="s">
        <v>724</v>
      </c>
      <c r="B32" s="6"/>
      <c r="C32" s="6" t="s">
        <v>45</v>
      </c>
      <c r="D32" s="6"/>
    </row>
    <row r="33">
      <c r="A33" s="6" t="s">
        <v>725</v>
      </c>
      <c r="B33" s="45"/>
      <c r="C33" s="6"/>
      <c r="D33" s="6"/>
    </row>
    <row r="34">
      <c r="A34" s="6" t="s">
        <v>726</v>
      </c>
      <c r="B34" s="45"/>
      <c r="C34" s="6"/>
      <c r="D34" s="6"/>
    </row>
    <row r="35">
      <c r="A35" s="6" t="s">
        <v>727</v>
      </c>
      <c r="B35" s="46"/>
      <c r="C35" s="6"/>
      <c r="D35" s="6"/>
    </row>
    <row r="36">
      <c r="B36" s="13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711</v>
      </c>
      <c r="B1" s="9" t="s">
        <v>15</v>
      </c>
      <c r="C1" s="6"/>
      <c r="D1" s="6"/>
    </row>
    <row r="2">
      <c r="A2" s="6"/>
      <c r="B2" s="36"/>
      <c r="C2" s="6"/>
      <c r="D2" s="36"/>
    </row>
    <row r="3">
      <c r="A3" s="1" t="s">
        <v>712</v>
      </c>
      <c r="B3" s="36"/>
      <c r="C3" s="6"/>
      <c r="D3" s="36"/>
    </row>
    <row r="4">
      <c r="A4" s="6" t="s">
        <v>713</v>
      </c>
      <c r="B4" s="37">
        <v>0.0</v>
      </c>
      <c r="C4" s="38"/>
      <c r="D4" s="6"/>
    </row>
    <row r="5">
      <c r="A5" s="6" t="s">
        <v>17</v>
      </c>
      <c r="B5" s="11">
        <f>5898.22</f>
        <v>5898.22</v>
      </c>
      <c r="C5" s="39">
        <f>B5/B7</f>
        <v>0.5922752039</v>
      </c>
      <c r="D5" s="6"/>
    </row>
    <row r="6">
      <c r="A6" s="6" t="s">
        <v>25</v>
      </c>
      <c r="B6" s="11">
        <f>4060.36</f>
        <v>4060.36</v>
      </c>
      <c r="C6" s="39">
        <f>B6/B7</f>
        <v>0.4077247961</v>
      </c>
      <c r="D6" s="6"/>
    </row>
    <row r="7">
      <c r="A7" s="6" t="s">
        <v>714</v>
      </c>
      <c r="B7" s="11">
        <f>SUM(B5:B6)</f>
        <v>9958.58</v>
      </c>
      <c r="C7" s="6"/>
      <c r="D7" s="6"/>
    </row>
    <row r="8">
      <c r="A8" s="6"/>
      <c r="B8" s="6"/>
      <c r="C8" s="6"/>
      <c r="D8" s="6"/>
    </row>
    <row r="9">
      <c r="A9" s="1" t="s">
        <v>715</v>
      </c>
      <c r="B9" s="6"/>
      <c r="C9" s="6" t="s">
        <v>17</v>
      </c>
      <c r="D9" s="6" t="s">
        <v>25</v>
      </c>
      <c r="E9" s="2" t="s">
        <v>728</v>
      </c>
    </row>
    <row r="10">
      <c r="A10" s="9" t="s">
        <v>64</v>
      </c>
      <c r="B10" s="37">
        <v>1967.98</v>
      </c>
      <c r="C10" s="11">
        <f>B10*C5</f>
        <v>1165.585756</v>
      </c>
      <c r="D10" s="11">
        <f>B10*C6</f>
        <v>802.3942442</v>
      </c>
      <c r="E10" s="48"/>
    </row>
    <row r="11">
      <c r="A11" s="9" t="s">
        <v>69</v>
      </c>
      <c r="B11" s="40">
        <v>146.21</v>
      </c>
      <c r="C11" s="11">
        <f>B11*C5</f>
        <v>86.59655756</v>
      </c>
      <c r="D11" s="11">
        <f>B11*C6</f>
        <v>59.61344244</v>
      </c>
      <c r="E11" s="48"/>
    </row>
    <row r="12">
      <c r="A12" s="6" t="s">
        <v>63</v>
      </c>
      <c r="B12" s="11">
        <v>56.5</v>
      </c>
      <c r="C12" s="11">
        <f>B12*C5</f>
        <v>33.46354902</v>
      </c>
      <c r="D12" s="11">
        <f>B12*C6</f>
        <v>23.03645098</v>
      </c>
    </row>
    <row r="13">
      <c r="A13" s="9" t="s">
        <v>68</v>
      </c>
      <c r="B13" s="40">
        <v>151.61</v>
      </c>
      <c r="C13" s="11">
        <f>B13*C5</f>
        <v>89.79484366</v>
      </c>
      <c r="D13" s="11">
        <f>B13*C6</f>
        <v>61.81515634</v>
      </c>
      <c r="E13" s="48"/>
    </row>
    <row r="14">
      <c r="A14" s="9" t="s">
        <v>717</v>
      </c>
      <c r="B14" s="40">
        <v>45.2</v>
      </c>
      <c r="C14" s="11">
        <f>B14*C5</f>
        <v>26.77083922</v>
      </c>
      <c r="D14" s="11">
        <f>B14*C6</f>
        <v>18.42916078</v>
      </c>
      <c r="E14" s="48"/>
    </row>
    <row r="15">
      <c r="A15" s="6" t="s">
        <v>70</v>
      </c>
      <c r="B15" s="40">
        <v>257.21</v>
      </c>
      <c r="C15" s="11">
        <f>B15*C5</f>
        <v>152.3391052</v>
      </c>
      <c r="D15" s="11">
        <f>B15*C6</f>
        <v>104.8708948</v>
      </c>
      <c r="E15" s="48"/>
    </row>
    <row r="16">
      <c r="A16" s="6" t="s">
        <v>718</v>
      </c>
      <c r="B16" s="40"/>
      <c r="C16" s="11">
        <f>B16*C5</f>
        <v>0</v>
      </c>
      <c r="D16" s="11">
        <f>B16*C6</f>
        <v>0</v>
      </c>
      <c r="E16" s="48"/>
    </row>
    <row r="17">
      <c r="A17" s="6" t="s">
        <v>719</v>
      </c>
      <c r="B17" s="40">
        <v>107.14</v>
      </c>
      <c r="C17" s="11">
        <f>B17*C5</f>
        <v>63.45636535</v>
      </c>
      <c r="D17" s="11">
        <f>B17*C6</f>
        <v>43.68363465</v>
      </c>
      <c r="E17" s="48"/>
    </row>
    <row r="18">
      <c r="A18" s="6" t="s">
        <v>720</v>
      </c>
      <c r="B18" s="40">
        <v>214.44</v>
      </c>
      <c r="C18" s="11">
        <f>B18*C5</f>
        <v>127.0074947</v>
      </c>
      <c r="D18" s="11">
        <f>B18*C6</f>
        <v>87.43250528</v>
      </c>
      <c r="E18" s="48"/>
    </row>
    <row r="19">
      <c r="A19" s="9" t="s">
        <v>731</v>
      </c>
      <c r="B19" s="45">
        <v>54.4</v>
      </c>
      <c r="C19" s="42">
        <f>B19*C5</f>
        <v>32.21977109</v>
      </c>
      <c r="D19" s="42">
        <f>B19*C6</f>
        <v>22.18022891</v>
      </c>
    </row>
    <row r="20">
      <c r="A20" s="1"/>
      <c r="B20" s="42"/>
      <c r="C20" s="42"/>
      <c r="D20" s="42"/>
    </row>
    <row r="21">
      <c r="A21" s="1" t="s">
        <v>721</v>
      </c>
      <c r="B21" s="42"/>
      <c r="C21" s="42"/>
      <c r="D21" s="42"/>
    </row>
    <row r="22">
      <c r="A22" s="6"/>
      <c r="B22" s="11">
        <f>B7*0.25</f>
        <v>2489.645</v>
      </c>
      <c r="C22" s="11">
        <f>B22*C5</f>
        <v>1474.555</v>
      </c>
      <c r="D22" s="11">
        <f>B22*C6</f>
        <v>1015.09</v>
      </c>
    </row>
    <row r="23">
      <c r="A23" s="6"/>
      <c r="B23" s="6"/>
      <c r="C23" s="6"/>
      <c r="D23" s="6"/>
    </row>
    <row r="24">
      <c r="A24" s="6" t="s">
        <v>722</v>
      </c>
      <c r="B24" s="11">
        <f t="shared" ref="B24:D24" si="1">SUM(B10:B22)</f>
        <v>5490.335</v>
      </c>
      <c r="C24" s="11">
        <f t="shared" si="1"/>
        <v>3251.789282</v>
      </c>
      <c r="D24" s="11">
        <f t="shared" si="1"/>
        <v>2238.545718</v>
      </c>
    </row>
    <row r="25">
      <c r="A25" s="6"/>
      <c r="B25" s="6"/>
      <c r="C25" s="6"/>
      <c r="D25" s="6"/>
    </row>
    <row r="26">
      <c r="A26" s="6" t="s">
        <v>723</v>
      </c>
      <c r="B26" s="6"/>
      <c r="C26" s="11">
        <f>B5-C24</f>
        <v>2646.430718</v>
      </c>
      <c r="D26" s="11">
        <f>B6-D24</f>
        <v>1821.814282</v>
      </c>
    </row>
    <row r="27">
      <c r="A27" s="43">
        <v>45792.0</v>
      </c>
      <c r="B27" s="6"/>
      <c r="C27" s="11">
        <f t="shared" ref="C27:D27" si="2">C26/2</f>
        <v>1323.215359</v>
      </c>
      <c r="D27" s="11">
        <f t="shared" si="2"/>
        <v>910.9071408</v>
      </c>
    </row>
    <row r="28">
      <c r="A28" s="43">
        <v>45807.0</v>
      </c>
      <c r="B28" s="6"/>
      <c r="C28" s="11">
        <f t="shared" ref="C28:D28" si="3">C26/2</f>
        <v>1323.215359</v>
      </c>
      <c r="D28" s="11">
        <f t="shared" si="3"/>
        <v>910.9071408</v>
      </c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44"/>
      <c r="B31" s="44"/>
      <c r="C31" s="44"/>
      <c r="D31" s="44"/>
    </row>
    <row r="32">
      <c r="A32" s="1" t="s">
        <v>724</v>
      </c>
      <c r="B32" s="6"/>
      <c r="C32" s="6" t="s">
        <v>45</v>
      </c>
      <c r="D32" s="6"/>
    </row>
    <row r="33">
      <c r="A33" s="6" t="s">
        <v>725</v>
      </c>
      <c r="B33" s="45"/>
      <c r="C33" s="6"/>
      <c r="D33" s="6"/>
    </row>
    <row r="34">
      <c r="A34" s="6" t="s">
        <v>726</v>
      </c>
      <c r="B34" s="45"/>
      <c r="C34" s="6"/>
      <c r="D34" s="6"/>
    </row>
    <row r="35">
      <c r="A35" s="6" t="s">
        <v>727</v>
      </c>
      <c r="B35" s="46"/>
      <c r="C35" s="6"/>
      <c r="D35" s="6"/>
    </row>
    <row r="36">
      <c r="B36" s="13"/>
    </row>
  </sheetData>
  <drawing r:id="rId1"/>
</worksheet>
</file>